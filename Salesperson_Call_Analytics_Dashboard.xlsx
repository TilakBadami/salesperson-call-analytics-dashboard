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E:\Data Analytics Projects\Excel Projects\"/>
    </mc:Choice>
  </mc:AlternateContent>
  <xr:revisionPtr revIDLastSave="0" documentId="8_{8F8F9AC3-1040-4644-9FF4-E473925CC36A}" xr6:coauthVersionLast="47" xr6:coauthVersionMax="47" xr10:uidLastSave="{00000000-0000-0000-0000-000000000000}"/>
  <bookViews>
    <workbookView xWindow="-108" yWindow="-108" windowWidth="23256" windowHeight="12456" activeTab="3" xr2:uid="{A11B0288-3821-4AC6-9B92-84CF7C9D72D9}"/>
  </bookViews>
  <sheets>
    <sheet name="Pivot_Tables" sheetId="5" r:id="rId1"/>
    <sheet name="Raw_Data" sheetId="1" r:id="rId2"/>
    <sheet name="Calculations" sheetId="2" r:id="rId3"/>
    <sheet name="Dashboard" sheetId="4" r:id="rId4"/>
  </sheets>
  <definedNames>
    <definedName name="NativeTimeline_Date">#N/A</definedName>
    <definedName name="Slicer_Direction">#N/A</definedName>
    <definedName name="Slicer_Sales_Person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 l="1"/>
  <c r="K12" i="1"/>
  <c r="H14" i="2" s="1"/>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4" i="2"/>
  <c r="H35" i="2"/>
  <c r="H49" i="2"/>
  <c r="H53" i="2"/>
  <c r="H60" i="2"/>
  <c r="H73" i="2"/>
  <c r="H91" i="2"/>
  <c r="H94" i="2"/>
  <c r="H99" i="2"/>
  <c r="H102" i="2"/>
  <c r="H118" i="2"/>
  <c r="H120" i="2"/>
  <c r="H137" i="2"/>
  <c r="H138" i="2"/>
  <c r="H141" i="2"/>
  <c r="H151" i="2"/>
  <c r="H155" i="2"/>
  <c r="H159" i="2"/>
  <c r="H172" i="2"/>
  <c r="H174" i="2"/>
  <c r="H180" i="2"/>
  <c r="H197" i="2"/>
  <c r="H208" i="2"/>
  <c r="H215" i="2"/>
  <c r="H216" i="2"/>
  <c r="H233" i="2"/>
  <c r="H234" i="2"/>
  <c r="H237" i="2"/>
  <c r="H246" i="2"/>
  <c r="H255" i="2"/>
  <c r="H262" i="2"/>
  <c r="H263" i="2"/>
  <c r="H267" i="2"/>
  <c r="H271" i="2"/>
  <c r="H275" i="2"/>
  <c r="H282" i="2"/>
  <c r="H288" i="2"/>
  <c r="H292" i="2"/>
  <c r="H293" i="2"/>
  <c r="H309" i="2"/>
  <c r="H313" i="2"/>
  <c r="H319" i="2"/>
  <c r="H325" i="2"/>
  <c r="H328" i="2"/>
  <c r="H331" i="2"/>
  <c r="H339" i="2"/>
  <c r="H342" i="2"/>
  <c r="H346" i="2"/>
  <c r="H350" i="2"/>
  <c r="H361" i="2"/>
  <c r="H362" i="2"/>
  <c r="H370" i="2"/>
  <c r="G15" i="2"/>
  <c r="G19" i="2"/>
  <c r="G31" i="2"/>
  <c r="G32" i="2"/>
  <c r="G35" i="2"/>
  <c r="G36" i="2"/>
  <c r="G37" i="2"/>
  <c r="G38" i="2"/>
  <c r="G57" i="2"/>
  <c r="G66" i="2"/>
  <c r="G69" i="2"/>
  <c r="G72" i="2"/>
  <c r="G89" i="2"/>
  <c r="G90" i="2"/>
  <c r="G94" i="2"/>
  <c r="G97" i="2"/>
  <c r="G98" i="2"/>
  <c r="G104" i="2"/>
  <c r="G107" i="2"/>
  <c r="G108" i="2"/>
  <c r="G109" i="2"/>
  <c r="G110" i="2"/>
  <c r="G124" i="2"/>
  <c r="G126" i="2"/>
  <c r="G127" i="2"/>
  <c r="G128" i="2"/>
  <c r="G129" i="2"/>
  <c r="G130" i="2"/>
  <c r="G135" i="2"/>
  <c r="G142" i="2"/>
  <c r="G149" i="2"/>
  <c r="G153" i="2"/>
  <c r="G154" i="2"/>
  <c r="G155" i="2"/>
  <c r="G164" i="2"/>
  <c r="G165" i="2"/>
  <c r="G166" i="2"/>
  <c r="G167" i="2"/>
  <c r="G169" i="2"/>
  <c r="G170" i="2"/>
  <c r="G171" i="2"/>
  <c r="G187" i="2"/>
  <c r="G190" i="2"/>
  <c r="G191" i="2"/>
  <c r="G199" i="2"/>
  <c r="G200" i="2"/>
  <c r="G203" i="2"/>
  <c r="G205" i="2"/>
  <c r="G208" i="2"/>
  <c r="G212" i="2"/>
  <c r="G219" i="2"/>
  <c r="G223" i="2"/>
  <c r="G224" i="2"/>
  <c r="G227" i="2"/>
  <c r="G228" i="2"/>
  <c r="G229" i="2"/>
  <c r="G237" i="2"/>
  <c r="G238" i="2"/>
  <c r="G241" i="2"/>
  <c r="G244" i="2"/>
  <c r="G245" i="2"/>
  <c r="G248" i="2"/>
  <c r="G249" i="2"/>
  <c r="G257" i="2"/>
  <c r="G260" i="2"/>
  <c r="G261" i="2"/>
  <c r="G262" i="2"/>
  <c r="G266" i="2"/>
  <c r="G267" i="2"/>
  <c r="G275" i="2"/>
  <c r="G279" i="2"/>
  <c r="G282" i="2"/>
  <c r="G283" i="2"/>
  <c r="G284" i="2"/>
  <c r="G286" i="2"/>
  <c r="G287" i="2"/>
  <c r="G288" i="2"/>
  <c r="G295" i="2"/>
  <c r="G296" i="2"/>
  <c r="G298" i="2"/>
  <c r="G299" i="2"/>
  <c r="G300" i="2"/>
  <c r="G303" i="2"/>
  <c r="G304" i="2"/>
  <c r="G305" i="2"/>
  <c r="G314" i="2"/>
  <c r="G318" i="2"/>
  <c r="G320" i="2"/>
  <c r="G321" i="2"/>
  <c r="G322" i="2"/>
  <c r="G323" i="2"/>
  <c r="G324" i="2"/>
  <c r="G326" i="2"/>
  <c r="G336" i="2"/>
  <c r="G337" i="2"/>
  <c r="G339" i="2"/>
  <c r="G341" i="2"/>
  <c r="G343" i="2"/>
  <c r="G345" i="2"/>
  <c r="G352" i="2"/>
  <c r="G353" i="2"/>
  <c r="G355" i="2"/>
  <c r="G356" i="2"/>
  <c r="G357" i="2"/>
  <c r="G358" i="2"/>
  <c r="G361" i="2"/>
  <c r="G362" i="2"/>
  <c r="G371" i="2"/>
  <c r="F8" i="2"/>
  <c r="F12" i="2"/>
  <c r="F15" i="2"/>
  <c r="F26" i="2"/>
  <c r="F27" i="2"/>
  <c r="F31" i="2"/>
  <c r="F41" i="2"/>
  <c r="F44" i="2"/>
  <c r="F49" i="2"/>
  <c r="F53" i="2"/>
  <c r="F60" i="2"/>
  <c r="F61" i="2"/>
  <c r="F64" i="2"/>
  <c r="F65" i="2"/>
  <c r="F73" i="2"/>
  <c r="F86" i="2"/>
  <c r="F87" i="2"/>
  <c r="F89" i="2"/>
  <c r="F90" i="2"/>
  <c r="F91" i="2"/>
  <c r="F98" i="2"/>
  <c r="F99" i="2"/>
  <c r="F108" i="2"/>
  <c r="F109" i="2"/>
  <c r="F118" i="2"/>
  <c r="F120" i="2"/>
  <c r="F122" i="2"/>
  <c r="F123" i="2"/>
  <c r="F125" i="2"/>
  <c r="F126" i="2"/>
  <c r="F127" i="2"/>
  <c r="F128" i="2"/>
  <c r="F129" i="2"/>
  <c r="F137" i="2"/>
  <c r="F141" i="2"/>
  <c r="F144" i="2"/>
  <c r="F145" i="2"/>
  <c r="F147" i="2"/>
  <c r="F149" i="2"/>
  <c r="F155" i="2"/>
  <c r="F156" i="2"/>
  <c r="F158" i="2"/>
  <c r="F159" i="2"/>
  <c r="F161" i="2"/>
  <c r="F162" i="2"/>
  <c r="F164" i="2"/>
  <c r="F168" i="2"/>
  <c r="F174" i="2"/>
  <c r="F180" i="2"/>
  <c r="F181" i="2"/>
  <c r="F182" i="2"/>
  <c r="F183" i="2"/>
  <c r="F184" i="2"/>
  <c r="F186" i="2"/>
  <c r="F187" i="2"/>
  <c r="F200" i="2"/>
  <c r="F201" i="2"/>
  <c r="F204" i="2"/>
  <c r="F212" i="2"/>
  <c r="F213" i="2"/>
  <c r="F216" i="2"/>
  <c r="F217" i="2"/>
  <c r="F218" i="2"/>
  <c r="F221" i="2"/>
  <c r="F222" i="2"/>
  <c r="F223" i="2"/>
  <c r="F224" i="2"/>
  <c r="F225" i="2"/>
  <c r="F238" i="2"/>
  <c r="F241" i="2"/>
  <c r="F242" i="2"/>
  <c r="F254" i="2"/>
  <c r="F255" i="2"/>
  <c r="F256" i="2"/>
  <c r="F257" i="2"/>
  <c r="F258" i="2"/>
  <c r="F262" i="2"/>
  <c r="F263" i="2"/>
  <c r="F271" i="2"/>
  <c r="F275" i="2"/>
  <c r="F276" i="2"/>
  <c r="F278" i="2"/>
  <c r="F279" i="2"/>
  <c r="F280" i="2"/>
  <c r="F281" i="2"/>
  <c r="F282" i="2"/>
  <c r="F289" i="2"/>
  <c r="F292" i="2"/>
  <c r="F293" i="2"/>
  <c r="F296" i="2"/>
  <c r="F297" i="2"/>
  <c r="F299" i="2"/>
  <c r="F300" i="2"/>
  <c r="F301" i="2"/>
  <c r="F308" i="2"/>
  <c r="F309" i="2"/>
  <c r="F311" i="2"/>
  <c r="F312" i="2"/>
  <c r="F313" i="2"/>
  <c r="F314" i="2"/>
  <c r="F316" i="2"/>
  <c r="F320" i="2"/>
  <c r="F327" i="2"/>
  <c r="F328" i="2"/>
  <c r="F331" i="2"/>
  <c r="F333" i="2"/>
  <c r="F335" i="2"/>
  <c r="F337" i="2"/>
  <c r="F338" i="2"/>
  <c r="F339" i="2"/>
  <c r="F346" i="2"/>
  <c r="F347" i="2"/>
  <c r="F349" i="2"/>
  <c r="F350" i="2"/>
  <c r="F353" i="2"/>
  <c r="F354" i="2"/>
  <c r="F356" i="2"/>
  <c r="F369" i="2"/>
  <c r="F370" i="2"/>
  <c r="F371" i="2"/>
  <c r="F4" i="2"/>
  <c r="E28" i="2"/>
  <c r="E29" i="2"/>
  <c r="E30" i="2"/>
  <c r="E32" i="2"/>
  <c r="E35" i="2"/>
  <c r="E40" i="2"/>
  <c r="E42" i="2"/>
  <c r="E43" i="2"/>
  <c r="E44" i="2"/>
  <c r="E47" i="2"/>
  <c r="E48" i="2"/>
  <c r="E50" i="2"/>
  <c r="E53" i="2"/>
  <c r="E58" i="2"/>
  <c r="E59" i="2"/>
  <c r="E61" i="2"/>
  <c r="E62" i="2"/>
  <c r="E63" i="2"/>
  <c r="E65" i="2"/>
  <c r="E71" i="2"/>
  <c r="E76" i="2"/>
  <c r="E77" i="2"/>
  <c r="E78" i="2"/>
  <c r="E80" i="2"/>
  <c r="E81" i="2"/>
  <c r="E82" i="2"/>
  <c r="E83" i="2"/>
  <c r="E84" i="2"/>
  <c r="E86" i="2"/>
  <c r="E89" i="2"/>
  <c r="E95" i="2"/>
  <c r="E96" i="2"/>
  <c r="E97" i="2"/>
  <c r="E101" i="2"/>
  <c r="E107" i="2"/>
  <c r="E108" i="2"/>
  <c r="E109" i="2"/>
  <c r="E113" i="2"/>
  <c r="E114" i="2"/>
  <c r="E115" i="2"/>
  <c r="E116" i="2"/>
  <c r="E118" i="2"/>
  <c r="E119" i="2"/>
  <c r="E125" i="2"/>
  <c r="E132" i="2"/>
  <c r="E133" i="2"/>
  <c r="E134" i="2"/>
  <c r="E135" i="2"/>
  <c r="E137" i="2"/>
  <c r="E138" i="2"/>
  <c r="E140" i="2"/>
  <c r="E143" i="2"/>
  <c r="E144" i="2"/>
  <c r="E145" i="2"/>
  <c r="E161" i="2"/>
  <c r="E164" i="2"/>
  <c r="E165" i="2"/>
  <c r="E166" i="2"/>
  <c r="E167" i="2"/>
  <c r="E172" i="2"/>
  <c r="E173" i="2"/>
  <c r="E176" i="2"/>
  <c r="E179" i="2"/>
  <c r="E184" i="2"/>
  <c r="E185" i="2"/>
  <c r="E186" i="2"/>
  <c r="E191" i="2"/>
  <c r="E197" i="2"/>
  <c r="E198" i="2"/>
  <c r="E199" i="2"/>
  <c r="E200" i="2"/>
  <c r="E202" i="2"/>
  <c r="E203" i="2"/>
  <c r="E204" i="2"/>
  <c r="E205" i="2"/>
  <c r="E209" i="2"/>
  <c r="E215" i="2"/>
  <c r="E220" i="2"/>
  <c r="E221" i="2"/>
  <c r="E222" i="2"/>
  <c r="E223" i="2"/>
  <c r="E227" i="2"/>
  <c r="E233" i="2"/>
  <c r="E235" i="2"/>
  <c r="E238" i="2"/>
  <c r="E239" i="2"/>
  <c r="E240" i="2"/>
  <c r="E241" i="2"/>
  <c r="E242" i="2"/>
  <c r="E251" i="2"/>
  <c r="E252" i="2"/>
  <c r="E256" i="2"/>
  <c r="E257" i="2"/>
  <c r="E258" i="2"/>
  <c r="E259" i="2"/>
  <c r="E260" i="2"/>
  <c r="E269" i="2"/>
  <c r="E274" i="2"/>
  <c r="E275" i="2"/>
  <c r="E276" i="2"/>
  <c r="E277" i="2"/>
  <c r="E278" i="2"/>
  <c r="E280" i="2"/>
  <c r="E281" i="2"/>
  <c r="E287" i="2"/>
  <c r="E288" i="2"/>
  <c r="E290" i="2"/>
  <c r="E292" i="2"/>
  <c r="E293" i="2"/>
  <c r="E294" i="2"/>
  <c r="E295" i="2"/>
  <c r="E296" i="2"/>
  <c r="E297" i="2"/>
  <c r="E298" i="2"/>
  <c r="E299" i="2"/>
  <c r="E305" i="2"/>
  <c r="E307" i="2"/>
  <c r="E310" i="2"/>
  <c r="E311" i="2"/>
  <c r="E312" i="2"/>
  <c r="E313" i="2"/>
  <c r="E314" i="2"/>
  <c r="E315" i="2"/>
  <c r="E316" i="2"/>
  <c r="E317" i="2"/>
  <c r="E323" i="2"/>
  <c r="E328" i="2"/>
  <c r="E329" i="2"/>
  <c r="E330" i="2"/>
  <c r="E331" i="2"/>
  <c r="E332" i="2"/>
  <c r="E334" i="2"/>
  <c r="E335" i="2"/>
  <c r="E336" i="2"/>
  <c r="E338" i="2"/>
  <c r="E341" i="2"/>
  <c r="E344" i="2"/>
  <c r="E345" i="2"/>
  <c r="E347" i="2"/>
  <c r="E348" i="2"/>
  <c r="E349" i="2"/>
  <c r="E350" i="2"/>
  <c r="E353" i="2"/>
  <c r="E359" i="2"/>
  <c r="E364" i="2"/>
  <c r="E366" i="2"/>
  <c r="E367" i="2"/>
  <c r="E368" i="2"/>
  <c r="E369" i="2"/>
  <c r="E370" i="2"/>
  <c r="E371" i="2"/>
  <c r="E5" i="2"/>
  <c r="E7" i="2"/>
  <c r="E8" i="2"/>
  <c r="E11" i="2"/>
  <c r="E17" i="2"/>
  <c r="E21" i="2"/>
  <c r="E22" i="2"/>
  <c r="E23" i="2"/>
  <c r="E25" i="2"/>
  <c r="E26" i="2"/>
  <c r="E27" i="2"/>
  <c r="E4" i="2"/>
  <c r="M2" i="1"/>
  <c r="M3" i="1"/>
  <c r="M4" i="1"/>
  <c r="E6" i="2" s="1"/>
  <c r="M5" i="1"/>
  <c r="M6" i="1"/>
  <c r="M7" i="1"/>
  <c r="E9" i="2" s="1"/>
  <c r="M8" i="1"/>
  <c r="E10" i="2" s="1"/>
  <c r="M9" i="1"/>
  <c r="M10" i="1"/>
  <c r="E12" i="2" s="1"/>
  <c r="M11" i="1"/>
  <c r="E13" i="2" s="1"/>
  <c r="M12" i="1"/>
  <c r="E14" i="2" s="1"/>
  <c r="M13" i="1"/>
  <c r="E15" i="2" s="1"/>
  <c r="M14" i="1"/>
  <c r="E16" i="2" s="1"/>
  <c r="M15" i="1"/>
  <c r="M16" i="1"/>
  <c r="E18" i="2" s="1"/>
  <c r="M17" i="1"/>
  <c r="E19" i="2" s="1"/>
  <c r="M18" i="1"/>
  <c r="E20" i="2" s="1"/>
  <c r="M19" i="1"/>
  <c r="M20" i="1"/>
  <c r="M21" i="1"/>
  <c r="M22" i="1"/>
  <c r="E24" i="2" s="1"/>
  <c r="M23" i="1"/>
  <c r="M24" i="1"/>
  <c r="M25" i="1"/>
  <c r="M26" i="1"/>
  <c r="M27" i="1"/>
  <c r="M28" i="1"/>
  <c r="M29" i="1"/>
  <c r="E31" i="2" s="1"/>
  <c r="M30" i="1"/>
  <c r="M31" i="1"/>
  <c r="E33" i="2" s="1"/>
  <c r="M32" i="1"/>
  <c r="E34" i="2" s="1"/>
  <c r="M33" i="1"/>
  <c r="M34" i="1"/>
  <c r="E36" i="2" s="1"/>
  <c r="M35" i="1"/>
  <c r="E37" i="2" s="1"/>
  <c r="M36" i="1"/>
  <c r="E38" i="2" s="1"/>
  <c r="M37" i="1"/>
  <c r="E39" i="2" s="1"/>
  <c r="M38" i="1"/>
  <c r="M39" i="1"/>
  <c r="E41" i="2" s="1"/>
  <c r="M40" i="1"/>
  <c r="M41" i="1"/>
  <c r="M42" i="1"/>
  <c r="M43" i="1"/>
  <c r="E45" i="2" s="1"/>
  <c r="M44" i="1"/>
  <c r="E46" i="2" s="1"/>
  <c r="M45" i="1"/>
  <c r="M46" i="1"/>
  <c r="M47" i="1"/>
  <c r="E49" i="2" s="1"/>
  <c r="M48" i="1"/>
  <c r="M49" i="1"/>
  <c r="E51" i="2" s="1"/>
  <c r="M50" i="1"/>
  <c r="E52" i="2" s="1"/>
  <c r="M51" i="1"/>
  <c r="M52" i="1"/>
  <c r="E54" i="2" s="1"/>
  <c r="M53" i="1"/>
  <c r="E55" i="2" s="1"/>
  <c r="M54" i="1"/>
  <c r="E56" i="2" s="1"/>
  <c r="M55" i="1"/>
  <c r="E57" i="2" s="1"/>
  <c r="M56" i="1"/>
  <c r="M57" i="1"/>
  <c r="M58" i="1"/>
  <c r="E60" i="2" s="1"/>
  <c r="M59" i="1"/>
  <c r="M60" i="1"/>
  <c r="M61" i="1"/>
  <c r="M62" i="1"/>
  <c r="E64" i="2" s="1"/>
  <c r="M63" i="1"/>
  <c r="M64" i="1"/>
  <c r="E66" i="2" s="1"/>
  <c r="M65" i="1"/>
  <c r="E67" i="2" s="1"/>
  <c r="M66" i="1"/>
  <c r="E68" i="2" s="1"/>
  <c r="M67" i="1"/>
  <c r="E69" i="2" s="1"/>
  <c r="M68" i="1"/>
  <c r="E70" i="2" s="1"/>
  <c r="M69" i="1"/>
  <c r="M70" i="1"/>
  <c r="E72" i="2" s="1"/>
  <c r="M71" i="1"/>
  <c r="E73" i="2" s="1"/>
  <c r="M72" i="1"/>
  <c r="E74" i="2" s="1"/>
  <c r="M73" i="1"/>
  <c r="E75" i="2" s="1"/>
  <c r="M74" i="1"/>
  <c r="M75" i="1"/>
  <c r="M76" i="1"/>
  <c r="M77" i="1"/>
  <c r="E79" i="2" s="1"/>
  <c r="M78" i="1"/>
  <c r="M79" i="1"/>
  <c r="M80" i="1"/>
  <c r="M81" i="1"/>
  <c r="M82" i="1"/>
  <c r="M83" i="1"/>
  <c r="E85" i="2" s="1"/>
  <c r="M84" i="1"/>
  <c r="M85" i="1"/>
  <c r="E87" i="2" s="1"/>
  <c r="M86" i="1"/>
  <c r="E88" i="2" s="1"/>
  <c r="M87" i="1"/>
  <c r="M88" i="1"/>
  <c r="E90" i="2" s="1"/>
  <c r="M89" i="1"/>
  <c r="E91" i="2" s="1"/>
  <c r="M90" i="1"/>
  <c r="E92" i="2" s="1"/>
  <c r="M91" i="1"/>
  <c r="E93" i="2" s="1"/>
  <c r="M92" i="1"/>
  <c r="E94" i="2" s="1"/>
  <c r="M93" i="1"/>
  <c r="M94" i="1"/>
  <c r="M95" i="1"/>
  <c r="M96" i="1"/>
  <c r="E98" i="2" s="1"/>
  <c r="M97" i="1"/>
  <c r="E99" i="2" s="1"/>
  <c r="M98" i="1"/>
  <c r="E100" i="2" s="1"/>
  <c r="M99" i="1"/>
  <c r="M100" i="1"/>
  <c r="E102" i="2" s="1"/>
  <c r="M101" i="1"/>
  <c r="E103" i="2" s="1"/>
  <c r="M102" i="1"/>
  <c r="E104" i="2" s="1"/>
  <c r="M103" i="1"/>
  <c r="E105" i="2" s="1"/>
  <c r="M104" i="1"/>
  <c r="E106" i="2" s="1"/>
  <c r="M105" i="1"/>
  <c r="M106" i="1"/>
  <c r="M107" i="1"/>
  <c r="M108" i="1"/>
  <c r="E110" i="2" s="1"/>
  <c r="M109" i="1"/>
  <c r="E111" i="2" s="1"/>
  <c r="M110" i="1"/>
  <c r="E112" i="2" s="1"/>
  <c r="M111" i="1"/>
  <c r="M112" i="1"/>
  <c r="M113" i="1"/>
  <c r="M114" i="1"/>
  <c r="M115" i="1"/>
  <c r="E117" i="2" s="1"/>
  <c r="M116" i="1"/>
  <c r="M117" i="1"/>
  <c r="M118" i="1"/>
  <c r="E120" i="2" s="1"/>
  <c r="M119" i="1"/>
  <c r="E121" i="2" s="1"/>
  <c r="M120" i="1"/>
  <c r="E122" i="2" s="1"/>
  <c r="M121" i="1"/>
  <c r="E123" i="2" s="1"/>
  <c r="M122" i="1"/>
  <c r="E124" i="2" s="1"/>
  <c r="M123" i="1"/>
  <c r="M124" i="1"/>
  <c r="E126" i="2" s="1"/>
  <c r="M125" i="1"/>
  <c r="E127" i="2" s="1"/>
  <c r="M126" i="1"/>
  <c r="E128" i="2" s="1"/>
  <c r="M127" i="1"/>
  <c r="E129" i="2" s="1"/>
  <c r="M128" i="1"/>
  <c r="E130" i="2" s="1"/>
  <c r="M129" i="1"/>
  <c r="E131" i="2" s="1"/>
  <c r="M130" i="1"/>
  <c r="M131" i="1"/>
  <c r="M132" i="1"/>
  <c r="M133" i="1"/>
  <c r="M134" i="1"/>
  <c r="E136" i="2" s="1"/>
  <c r="M135" i="1"/>
  <c r="M136" i="1"/>
  <c r="M137" i="1"/>
  <c r="E139" i="2" s="1"/>
  <c r="M138" i="1"/>
  <c r="M139" i="1"/>
  <c r="E141" i="2" s="1"/>
  <c r="M140" i="1"/>
  <c r="E142" i="2" s="1"/>
  <c r="M141" i="1"/>
  <c r="M142" i="1"/>
  <c r="M143" i="1"/>
  <c r="M144" i="1"/>
  <c r="E146" i="2" s="1"/>
  <c r="M145" i="1"/>
  <c r="E147" i="2" s="1"/>
  <c r="M146" i="1"/>
  <c r="E148" i="2" s="1"/>
  <c r="M147" i="1"/>
  <c r="E149" i="2" s="1"/>
  <c r="M148" i="1"/>
  <c r="E150" i="2" s="1"/>
  <c r="M149" i="1"/>
  <c r="E151" i="2" s="1"/>
  <c r="M150" i="1"/>
  <c r="E152" i="2" s="1"/>
  <c r="M151" i="1"/>
  <c r="E153" i="2" s="1"/>
  <c r="M152" i="1"/>
  <c r="E154" i="2" s="1"/>
  <c r="M153" i="1"/>
  <c r="E155" i="2" s="1"/>
  <c r="M154" i="1"/>
  <c r="E156" i="2" s="1"/>
  <c r="M155" i="1"/>
  <c r="E157" i="2" s="1"/>
  <c r="M156" i="1"/>
  <c r="E158" i="2" s="1"/>
  <c r="M157" i="1"/>
  <c r="E159" i="2" s="1"/>
  <c r="M158" i="1"/>
  <c r="E160" i="2" s="1"/>
  <c r="M159" i="1"/>
  <c r="M160" i="1"/>
  <c r="E162" i="2" s="1"/>
  <c r="M161" i="1"/>
  <c r="E163" i="2" s="1"/>
  <c r="M162" i="1"/>
  <c r="M163" i="1"/>
  <c r="M164" i="1"/>
  <c r="M165" i="1"/>
  <c r="M166" i="1"/>
  <c r="E168" i="2" s="1"/>
  <c r="M167" i="1"/>
  <c r="E169" i="2" s="1"/>
  <c r="M168" i="1"/>
  <c r="E170" i="2" s="1"/>
  <c r="M169" i="1"/>
  <c r="E171" i="2" s="1"/>
  <c r="M170" i="1"/>
  <c r="M171" i="1"/>
  <c r="M172" i="1"/>
  <c r="E174" i="2" s="1"/>
  <c r="M173" i="1"/>
  <c r="E175" i="2" s="1"/>
  <c r="M174" i="1"/>
  <c r="M175" i="1"/>
  <c r="E177" i="2" s="1"/>
  <c r="M176" i="1"/>
  <c r="E178" i="2" s="1"/>
  <c r="M177" i="1"/>
  <c r="M178" i="1"/>
  <c r="E180" i="2" s="1"/>
  <c r="M179" i="1"/>
  <c r="E181" i="2" s="1"/>
  <c r="M180" i="1"/>
  <c r="E182" i="2" s="1"/>
  <c r="M181" i="1"/>
  <c r="E183" i="2" s="1"/>
  <c r="M182" i="1"/>
  <c r="M183" i="1"/>
  <c r="M184" i="1"/>
  <c r="M185" i="1"/>
  <c r="E187" i="2" s="1"/>
  <c r="M186" i="1"/>
  <c r="E188" i="2" s="1"/>
  <c r="M187" i="1"/>
  <c r="E189" i="2" s="1"/>
  <c r="M188" i="1"/>
  <c r="E190" i="2" s="1"/>
  <c r="M189" i="1"/>
  <c r="M190" i="1"/>
  <c r="E192" i="2" s="1"/>
  <c r="M191" i="1"/>
  <c r="E193" i="2" s="1"/>
  <c r="M192" i="1"/>
  <c r="E194" i="2" s="1"/>
  <c r="M193" i="1"/>
  <c r="E195" i="2" s="1"/>
  <c r="M194" i="1"/>
  <c r="E196" i="2" s="1"/>
  <c r="M195" i="1"/>
  <c r="M196" i="1"/>
  <c r="M197" i="1"/>
  <c r="M198" i="1"/>
  <c r="M199" i="1"/>
  <c r="E201" i="2" s="1"/>
  <c r="M200" i="1"/>
  <c r="M201" i="1"/>
  <c r="M202" i="1"/>
  <c r="M203" i="1"/>
  <c r="M204" i="1"/>
  <c r="E206" i="2" s="1"/>
  <c r="M205" i="1"/>
  <c r="E207" i="2" s="1"/>
  <c r="M206" i="1"/>
  <c r="E208" i="2" s="1"/>
  <c r="M207" i="1"/>
  <c r="M208" i="1"/>
  <c r="E210" i="2" s="1"/>
  <c r="M209" i="1"/>
  <c r="E211" i="2" s="1"/>
  <c r="M210" i="1"/>
  <c r="E212" i="2" s="1"/>
  <c r="M211" i="1"/>
  <c r="E213" i="2" s="1"/>
  <c r="M212" i="1"/>
  <c r="E214" i="2" s="1"/>
  <c r="M213" i="1"/>
  <c r="M214" i="1"/>
  <c r="E216" i="2" s="1"/>
  <c r="M215" i="1"/>
  <c r="E217" i="2" s="1"/>
  <c r="M216" i="1"/>
  <c r="E218" i="2" s="1"/>
  <c r="M217" i="1"/>
  <c r="E219" i="2" s="1"/>
  <c r="M218" i="1"/>
  <c r="M219" i="1"/>
  <c r="M220" i="1"/>
  <c r="M221" i="1"/>
  <c r="M222" i="1"/>
  <c r="E224" i="2" s="1"/>
  <c r="M223" i="1"/>
  <c r="E225" i="2" s="1"/>
  <c r="M224" i="1"/>
  <c r="E226" i="2" s="1"/>
  <c r="M225" i="1"/>
  <c r="M226" i="1"/>
  <c r="E228" i="2" s="1"/>
  <c r="M227" i="1"/>
  <c r="E229" i="2" s="1"/>
  <c r="M228" i="1"/>
  <c r="E230" i="2" s="1"/>
  <c r="M229" i="1"/>
  <c r="E231" i="2" s="1"/>
  <c r="M230" i="1"/>
  <c r="E232" i="2" s="1"/>
  <c r="M231" i="1"/>
  <c r="M232" i="1"/>
  <c r="E234" i="2" s="1"/>
  <c r="M233" i="1"/>
  <c r="M234" i="1"/>
  <c r="E236" i="2" s="1"/>
  <c r="M235" i="1"/>
  <c r="E237" i="2" s="1"/>
  <c r="M236" i="1"/>
  <c r="M237" i="1"/>
  <c r="M238" i="1"/>
  <c r="M239" i="1"/>
  <c r="M240" i="1"/>
  <c r="M241" i="1"/>
  <c r="E243" i="2" s="1"/>
  <c r="M242" i="1"/>
  <c r="E244" i="2" s="1"/>
  <c r="M243" i="1"/>
  <c r="E245" i="2" s="1"/>
  <c r="M244" i="1"/>
  <c r="E246" i="2" s="1"/>
  <c r="M245" i="1"/>
  <c r="E247" i="2" s="1"/>
  <c r="M246" i="1"/>
  <c r="E248" i="2" s="1"/>
  <c r="M247" i="1"/>
  <c r="E249" i="2" s="1"/>
  <c r="M248" i="1"/>
  <c r="E250" i="2" s="1"/>
  <c r="M249" i="1"/>
  <c r="M250" i="1"/>
  <c r="M251" i="1"/>
  <c r="E253" i="2" s="1"/>
  <c r="M252" i="1"/>
  <c r="E254" i="2" s="1"/>
  <c r="M253" i="1"/>
  <c r="E255" i="2" s="1"/>
  <c r="M254" i="1"/>
  <c r="M255" i="1"/>
  <c r="M256" i="1"/>
  <c r="M257" i="1"/>
  <c r="M258" i="1"/>
  <c r="M259" i="1"/>
  <c r="E261" i="2" s="1"/>
  <c r="M260" i="1"/>
  <c r="E262" i="2" s="1"/>
  <c r="M261" i="1"/>
  <c r="E263" i="2" s="1"/>
  <c r="M262" i="1"/>
  <c r="E264" i="2" s="1"/>
  <c r="M263" i="1"/>
  <c r="E265" i="2" s="1"/>
  <c r="M264" i="1"/>
  <c r="E266" i="2" s="1"/>
  <c r="M265" i="1"/>
  <c r="E267" i="2" s="1"/>
  <c r="M266" i="1"/>
  <c r="E268" i="2" s="1"/>
  <c r="M267" i="1"/>
  <c r="M268" i="1"/>
  <c r="E270" i="2" s="1"/>
  <c r="M269" i="1"/>
  <c r="E271" i="2" s="1"/>
  <c r="M270" i="1"/>
  <c r="E272" i="2" s="1"/>
  <c r="M271" i="1"/>
  <c r="E273" i="2" s="1"/>
  <c r="M272" i="1"/>
  <c r="M273" i="1"/>
  <c r="M274" i="1"/>
  <c r="M275" i="1"/>
  <c r="M276" i="1"/>
  <c r="M277" i="1"/>
  <c r="E279" i="2" s="1"/>
  <c r="M278" i="1"/>
  <c r="M279" i="1"/>
  <c r="M280" i="1"/>
  <c r="E282" i="2" s="1"/>
  <c r="M281" i="1"/>
  <c r="E283" i="2" s="1"/>
  <c r="M282" i="1"/>
  <c r="E284" i="2" s="1"/>
  <c r="M283" i="1"/>
  <c r="E285" i="2" s="1"/>
  <c r="M284" i="1"/>
  <c r="E286" i="2" s="1"/>
  <c r="M285" i="1"/>
  <c r="M286" i="1"/>
  <c r="M287" i="1"/>
  <c r="E289" i="2" s="1"/>
  <c r="M288" i="1"/>
  <c r="M289" i="1"/>
  <c r="E291" i="2" s="1"/>
  <c r="M290" i="1"/>
  <c r="M291" i="1"/>
  <c r="M292" i="1"/>
  <c r="M293" i="1"/>
  <c r="M294" i="1"/>
  <c r="M295" i="1"/>
  <c r="M296" i="1"/>
  <c r="M297" i="1"/>
  <c r="M298" i="1"/>
  <c r="E300" i="2" s="1"/>
  <c r="M299" i="1"/>
  <c r="E301" i="2" s="1"/>
  <c r="M300" i="1"/>
  <c r="E302" i="2" s="1"/>
  <c r="M301" i="1"/>
  <c r="E303" i="2" s="1"/>
  <c r="M302" i="1"/>
  <c r="E304" i="2" s="1"/>
  <c r="M303" i="1"/>
  <c r="M304" i="1"/>
  <c r="E306" i="2" s="1"/>
  <c r="M305" i="1"/>
  <c r="M306" i="1"/>
  <c r="E308" i="2" s="1"/>
  <c r="M307" i="1"/>
  <c r="E309" i="2" s="1"/>
  <c r="M308" i="1"/>
  <c r="M309" i="1"/>
  <c r="M310" i="1"/>
  <c r="M311" i="1"/>
  <c r="M312" i="1"/>
  <c r="M313" i="1"/>
  <c r="M314" i="1"/>
  <c r="M315" i="1"/>
  <c r="M316" i="1"/>
  <c r="E318" i="2" s="1"/>
  <c r="M317" i="1"/>
  <c r="E319" i="2" s="1"/>
  <c r="M318" i="1"/>
  <c r="E320" i="2" s="1"/>
  <c r="M319" i="1"/>
  <c r="E321" i="2" s="1"/>
  <c r="M320" i="1"/>
  <c r="E322" i="2" s="1"/>
  <c r="M321" i="1"/>
  <c r="M322" i="1"/>
  <c r="E324" i="2" s="1"/>
  <c r="M323" i="1"/>
  <c r="E325" i="2" s="1"/>
  <c r="M324" i="1"/>
  <c r="E326" i="2" s="1"/>
  <c r="M325" i="1"/>
  <c r="E327" i="2" s="1"/>
  <c r="M326" i="1"/>
  <c r="M327" i="1"/>
  <c r="M328" i="1"/>
  <c r="M329" i="1"/>
  <c r="M330" i="1"/>
  <c r="M331" i="1"/>
  <c r="E333" i="2" s="1"/>
  <c r="M332" i="1"/>
  <c r="M333" i="1"/>
  <c r="M334" i="1"/>
  <c r="M335" i="1"/>
  <c r="E337" i="2" s="1"/>
  <c r="M336" i="1"/>
  <c r="M337" i="1"/>
  <c r="E339" i="2" s="1"/>
  <c r="M338" i="1"/>
  <c r="E340" i="2" s="1"/>
  <c r="M339" i="1"/>
  <c r="M340" i="1"/>
  <c r="E342" i="2" s="1"/>
  <c r="M341" i="1"/>
  <c r="E343" i="2" s="1"/>
  <c r="M342" i="1"/>
  <c r="M343" i="1"/>
  <c r="M344" i="1"/>
  <c r="E346" i="2" s="1"/>
  <c r="M345" i="1"/>
  <c r="M346" i="1"/>
  <c r="M347" i="1"/>
  <c r="M348" i="1"/>
  <c r="M349" i="1"/>
  <c r="E351" i="2" s="1"/>
  <c r="M350" i="1"/>
  <c r="E352" i="2" s="1"/>
  <c r="M351" i="1"/>
  <c r="M352" i="1"/>
  <c r="E354" i="2" s="1"/>
  <c r="M353" i="1"/>
  <c r="E355" i="2" s="1"/>
  <c r="M354" i="1"/>
  <c r="E356" i="2" s="1"/>
  <c r="M355" i="1"/>
  <c r="E357" i="2" s="1"/>
  <c r="M356" i="1"/>
  <c r="E358" i="2" s="1"/>
  <c r="M357" i="1"/>
  <c r="M358" i="1"/>
  <c r="E360" i="2" s="1"/>
  <c r="M359" i="1"/>
  <c r="E361" i="2" s="1"/>
  <c r="M360" i="1"/>
  <c r="E362" i="2" s="1"/>
  <c r="M361" i="1"/>
  <c r="E363" i="2" s="1"/>
  <c r="M362" i="1"/>
  <c r="M363" i="1"/>
  <c r="E365" i="2" s="1"/>
  <c r="M364" i="1"/>
  <c r="M365" i="1"/>
  <c r="M366" i="1"/>
  <c r="M367" i="1"/>
  <c r="M368" i="1"/>
  <c r="M369" i="1"/>
  <c r="L2" i="1"/>
  <c r="L3" i="1"/>
  <c r="L4" i="1"/>
  <c r="L5" i="1"/>
  <c r="D7" i="2" s="1"/>
  <c r="L6" i="1"/>
  <c r="L7" i="1"/>
  <c r="L8" i="1"/>
  <c r="D10" i="2" s="1"/>
  <c r="L9" i="1"/>
  <c r="L10" i="1"/>
  <c r="L11" i="1"/>
  <c r="L12" i="1"/>
  <c r="D14" i="2" s="1"/>
  <c r="L13" i="1"/>
  <c r="D15" i="2" s="1"/>
  <c r="L14" i="1"/>
  <c r="L15" i="1"/>
  <c r="D17" i="2" s="1"/>
  <c r="L16" i="1"/>
  <c r="D18" i="2" s="1"/>
  <c r="L17" i="1"/>
  <c r="D19" i="2" s="1"/>
  <c r="L18" i="1"/>
  <c r="D20" i="2" s="1"/>
  <c r="L19" i="1"/>
  <c r="D21" i="2" s="1"/>
  <c r="L20" i="1"/>
  <c r="L21" i="1"/>
  <c r="L22" i="1"/>
  <c r="D24" i="2" s="1"/>
  <c r="L23" i="1"/>
  <c r="L24" i="1"/>
  <c r="D26" i="2" s="1"/>
  <c r="L25" i="1"/>
  <c r="D27" i="2" s="1"/>
  <c r="L26" i="1"/>
  <c r="D28" i="2" s="1"/>
  <c r="L27" i="1"/>
  <c r="D29" i="2" s="1"/>
  <c r="L28" i="1"/>
  <c r="D30" i="2" s="1"/>
  <c r="L29" i="1"/>
  <c r="D31" i="2" s="1"/>
  <c r="L30" i="1"/>
  <c r="D32" i="2" s="1"/>
  <c r="L31" i="1"/>
  <c r="D33" i="2" s="1"/>
  <c r="L32" i="1"/>
  <c r="D34" i="2" s="1"/>
  <c r="L33" i="1"/>
  <c r="D35" i="2" s="1"/>
  <c r="L34" i="1"/>
  <c r="D36" i="2" s="1"/>
  <c r="L35" i="1"/>
  <c r="D37" i="2" s="1"/>
  <c r="L36" i="1"/>
  <c r="D38" i="2" s="1"/>
  <c r="L37" i="1"/>
  <c r="D39" i="2" s="1"/>
  <c r="L38" i="1"/>
  <c r="D40" i="2" s="1"/>
  <c r="L39" i="1"/>
  <c r="L40" i="1"/>
  <c r="L41" i="1"/>
  <c r="D43" i="2" s="1"/>
  <c r="L42" i="1"/>
  <c r="D44" i="2" s="1"/>
  <c r="L43" i="1"/>
  <c r="L44" i="1"/>
  <c r="D46" i="2" s="1"/>
  <c r="L45" i="1"/>
  <c r="D47" i="2" s="1"/>
  <c r="L46" i="1"/>
  <c r="D48" i="2" s="1"/>
  <c r="L47" i="1"/>
  <c r="D49" i="2" s="1"/>
  <c r="L48" i="1"/>
  <c r="D50" i="2" s="1"/>
  <c r="L49" i="1"/>
  <c r="D51" i="2" s="1"/>
  <c r="L50" i="1"/>
  <c r="D52" i="2" s="1"/>
  <c r="L51" i="1"/>
  <c r="D53" i="2" s="1"/>
  <c r="L52" i="1"/>
  <c r="D54" i="2" s="1"/>
  <c r="L53" i="1"/>
  <c r="D55" i="2" s="1"/>
  <c r="L54" i="1"/>
  <c r="L55" i="1"/>
  <c r="D57" i="2" s="1"/>
  <c r="L56" i="1"/>
  <c r="L57" i="1"/>
  <c r="L58" i="1"/>
  <c r="D60" i="2" s="1"/>
  <c r="L59" i="1"/>
  <c r="D61" i="2" s="1"/>
  <c r="L60" i="1"/>
  <c r="D62" i="2" s="1"/>
  <c r="L61" i="1"/>
  <c r="D63" i="2" s="1"/>
  <c r="L62" i="1"/>
  <c r="D64" i="2" s="1"/>
  <c r="L63" i="1"/>
  <c r="D65" i="2" s="1"/>
  <c r="L64" i="1"/>
  <c r="D66" i="2" s="1"/>
  <c r="L65" i="1"/>
  <c r="D67" i="2" s="1"/>
  <c r="L66" i="1"/>
  <c r="L67" i="1"/>
  <c r="L68" i="1"/>
  <c r="L69" i="1"/>
  <c r="D71" i="2" s="1"/>
  <c r="L70" i="1"/>
  <c r="D72" i="2" s="1"/>
  <c r="L71" i="1"/>
  <c r="D73" i="2" s="1"/>
  <c r="L72" i="1"/>
  <c r="D74" i="2" s="1"/>
  <c r="L73" i="1"/>
  <c r="D75" i="2" s="1"/>
  <c r="L74" i="1"/>
  <c r="L75" i="1"/>
  <c r="L76" i="1"/>
  <c r="D78" i="2" s="1"/>
  <c r="L77" i="1"/>
  <c r="D79" i="2" s="1"/>
  <c r="L78" i="1"/>
  <c r="D80" i="2" s="1"/>
  <c r="L79" i="1"/>
  <c r="D81" i="2" s="1"/>
  <c r="L80" i="1"/>
  <c r="D82" i="2" s="1"/>
  <c r="L81" i="1"/>
  <c r="D83" i="2" s="1"/>
  <c r="L82" i="1"/>
  <c r="L83" i="1"/>
  <c r="D85" i="2" s="1"/>
  <c r="L84" i="1"/>
  <c r="D86" i="2" s="1"/>
  <c r="L85" i="1"/>
  <c r="D87" i="2" s="1"/>
  <c r="L86" i="1"/>
  <c r="D88" i="2" s="1"/>
  <c r="L87" i="1"/>
  <c r="D89" i="2" s="1"/>
  <c r="L88" i="1"/>
  <c r="D90" i="2" s="1"/>
  <c r="L89" i="1"/>
  <c r="D91" i="2" s="1"/>
  <c r="L90" i="1"/>
  <c r="D92" i="2" s="1"/>
  <c r="L91" i="1"/>
  <c r="D93" i="2" s="1"/>
  <c r="L92" i="1"/>
  <c r="D94" i="2" s="1"/>
  <c r="L93" i="1"/>
  <c r="L94" i="1"/>
  <c r="D96" i="2" s="1"/>
  <c r="L95" i="1"/>
  <c r="D97" i="2" s="1"/>
  <c r="L96" i="1"/>
  <c r="D98" i="2" s="1"/>
  <c r="L97" i="1"/>
  <c r="D99" i="2" s="1"/>
  <c r="L98" i="1"/>
  <c r="D100" i="2" s="1"/>
  <c r="L99" i="1"/>
  <c r="D101" i="2" s="1"/>
  <c r="L100" i="1"/>
  <c r="D102" i="2" s="1"/>
  <c r="L101" i="1"/>
  <c r="D103" i="2" s="1"/>
  <c r="L102" i="1"/>
  <c r="L103" i="1"/>
  <c r="D105" i="2" s="1"/>
  <c r="L104" i="1"/>
  <c r="L105" i="1"/>
  <c r="D107" i="2" s="1"/>
  <c r="L106" i="1"/>
  <c r="D108" i="2" s="1"/>
  <c r="L107" i="1"/>
  <c r="D109" i="2" s="1"/>
  <c r="L108" i="1"/>
  <c r="D110" i="2" s="1"/>
  <c r="L109" i="1"/>
  <c r="D111" i="2" s="1"/>
  <c r="L110" i="1"/>
  <c r="D112" i="2" s="1"/>
  <c r="L111" i="1"/>
  <c r="L112" i="1"/>
  <c r="D114" i="2" s="1"/>
  <c r="L113" i="1"/>
  <c r="D115" i="2" s="1"/>
  <c r="L114" i="1"/>
  <c r="D116" i="2" s="1"/>
  <c r="L115" i="1"/>
  <c r="L116" i="1"/>
  <c r="D118" i="2" s="1"/>
  <c r="L117" i="1"/>
  <c r="D119" i="2" s="1"/>
  <c r="L118" i="1"/>
  <c r="D120" i="2" s="1"/>
  <c r="L119" i="1"/>
  <c r="L120" i="1"/>
  <c r="D122" i="2" s="1"/>
  <c r="L121" i="1"/>
  <c r="D123" i="2" s="1"/>
  <c r="L122" i="1"/>
  <c r="D124" i="2" s="1"/>
  <c r="L123" i="1"/>
  <c r="D125" i="2" s="1"/>
  <c r="L124" i="1"/>
  <c r="D126" i="2" s="1"/>
  <c r="L125" i="1"/>
  <c r="D127" i="2" s="1"/>
  <c r="L126" i="1"/>
  <c r="D128" i="2" s="1"/>
  <c r="L127" i="1"/>
  <c r="D129" i="2" s="1"/>
  <c r="L128" i="1"/>
  <c r="D130" i="2" s="1"/>
  <c r="L129" i="1"/>
  <c r="L130" i="1"/>
  <c r="D132" i="2" s="1"/>
  <c r="L131" i="1"/>
  <c r="L132" i="1"/>
  <c r="D134" i="2" s="1"/>
  <c r="L133" i="1"/>
  <c r="D135" i="2" s="1"/>
  <c r="L134" i="1"/>
  <c r="D136" i="2" s="1"/>
  <c r="L135" i="1"/>
  <c r="L136" i="1"/>
  <c r="D138" i="2" s="1"/>
  <c r="L137" i="1"/>
  <c r="D139" i="2" s="1"/>
  <c r="L138" i="1"/>
  <c r="L139" i="1"/>
  <c r="L140" i="1"/>
  <c r="D142" i="2" s="1"/>
  <c r="L141" i="1"/>
  <c r="L142" i="1"/>
  <c r="L143" i="1"/>
  <c r="D145" i="2" s="1"/>
  <c r="L144" i="1"/>
  <c r="D146" i="2" s="1"/>
  <c r="L145" i="1"/>
  <c r="D147" i="2" s="1"/>
  <c r="L146" i="1"/>
  <c r="D148" i="2" s="1"/>
  <c r="L147" i="1"/>
  <c r="L148" i="1"/>
  <c r="L149" i="1"/>
  <c r="D151" i="2" s="1"/>
  <c r="L150" i="1"/>
  <c r="D152" i="2" s="1"/>
  <c r="L151" i="1"/>
  <c r="D153" i="2" s="1"/>
  <c r="L152" i="1"/>
  <c r="L153" i="1"/>
  <c r="D155" i="2" s="1"/>
  <c r="L154" i="1"/>
  <c r="D156" i="2" s="1"/>
  <c r="L155" i="1"/>
  <c r="D157" i="2" s="1"/>
  <c r="L156" i="1"/>
  <c r="D158" i="2" s="1"/>
  <c r="L157" i="1"/>
  <c r="D159" i="2" s="1"/>
  <c r="L158" i="1"/>
  <c r="D160" i="2" s="1"/>
  <c r="L159" i="1"/>
  <c r="D161" i="2" s="1"/>
  <c r="L160" i="1"/>
  <c r="D162" i="2" s="1"/>
  <c r="L161" i="1"/>
  <c r="D163" i="2" s="1"/>
  <c r="L162" i="1"/>
  <c r="D164" i="2" s="1"/>
  <c r="L163" i="1"/>
  <c r="D165" i="2" s="1"/>
  <c r="L164" i="1"/>
  <c r="D166" i="2" s="1"/>
  <c r="L165" i="1"/>
  <c r="L166" i="1"/>
  <c r="L167" i="1"/>
  <c r="D169" i="2" s="1"/>
  <c r="L168" i="1"/>
  <c r="D170" i="2" s="1"/>
  <c r="L169" i="1"/>
  <c r="L170" i="1"/>
  <c r="L171" i="1"/>
  <c r="D173" i="2" s="1"/>
  <c r="L172" i="1"/>
  <c r="D174" i="2" s="1"/>
  <c r="L173" i="1"/>
  <c r="D175" i="2" s="1"/>
  <c r="L174" i="1"/>
  <c r="L175" i="1"/>
  <c r="D177" i="2" s="1"/>
  <c r="L176" i="1"/>
  <c r="L177" i="1"/>
  <c r="D179" i="2" s="1"/>
  <c r="L178" i="1"/>
  <c r="L179" i="1"/>
  <c r="D181" i="2" s="1"/>
  <c r="L180" i="1"/>
  <c r="D182" i="2" s="1"/>
  <c r="L181" i="1"/>
  <c r="D183" i="2" s="1"/>
  <c r="L182" i="1"/>
  <c r="D184" i="2" s="1"/>
  <c r="L183" i="1"/>
  <c r="L184" i="1"/>
  <c r="D186" i="2" s="1"/>
  <c r="L185" i="1"/>
  <c r="D187" i="2" s="1"/>
  <c r="L186" i="1"/>
  <c r="D188" i="2" s="1"/>
  <c r="L187" i="1"/>
  <c r="D189" i="2" s="1"/>
  <c r="L188" i="1"/>
  <c r="D190" i="2" s="1"/>
  <c r="L189" i="1"/>
  <c r="D191" i="2" s="1"/>
  <c r="L190" i="1"/>
  <c r="D192" i="2" s="1"/>
  <c r="L191" i="1"/>
  <c r="D193" i="2" s="1"/>
  <c r="L192" i="1"/>
  <c r="D194" i="2" s="1"/>
  <c r="L193" i="1"/>
  <c r="D195" i="2" s="1"/>
  <c r="L194" i="1"/>
  <c r="D196" i="2" s="1"/>
  <c r="L195" i="1"/>
  <c r="D197" i="2" s="1"/>
  <c r="L196" i="1"/>
  <c r="D198" i="2" s="1"/>
  <c r="L197" i="1"/>
  <c r="D199" i="2" s="1"/>
  <c r="L198" i="1"/>
  <c r="D200" i="2" s="1"/>
  <c r="L199" i="1"/>
  <c r="D201" i="2" s="1"/>
  <c r="L200" i="1"/>
  <c r="L201" i="1"/>
  <c r="D203" i="2" s="1"/>
  <c r="L202" i="1"/>
  <c r="D204" i="2" s="1"/>
  <c r="L203" i="1"/>
  <c r="D205" i="2" s="1"/>
  <c r="L204" i="1"/>
  <c r="L205" i="1"/>
  <c r="L206" i="1"/>
  <c r="D208" i="2" s="1"/>
  <c r="L207" i="1"/>
  <c r="L208" i="1"/>
  <c r="L209" i="1"/>
  <c r="L210" i="1"/>
  <c r="L211" i="1"/>
  <c r="L212" i="1"/>
  <c r="L213" i="1"/>
  <c r="L214" i="1"/>
  <c r="D216" i="2" s="1"/>
  <c r="L215" i="1"/>
  <c r="L216" i="1"/>
  <c r="D218" i="2" s="1"/>
  <c r="L217" i="1"/>
  <c r="D219" i="2" s="1"/>
  <c r="L218" i="1"/>
  <c r="D220" i="2" s="1"/>
  <c r="L219" i="1"/>
  <c r="L220" i="1"/>
  <c r="L221" i="1"/>
  <c r="D223" i="2" s="1"/>
  <c r="L222" i="1"/>
  <c r="D224" i="2" s="1"/>
  <c r="L223" i="1"/>
  <c r="L224" i="1"/>
  <c r="D226" i="2" s="1"/>
  <c r="L225" i="1"/>
  <c r="D227" i="2" s="1"/>
  <c r="L226" i="1"/>
  <c r="D228" i="2" s="1"/>
  <c r="L227" i="1"/>
  <c r="D229" i="2" s="1"/>
  <c r="L228" i="1"/>
  <c r="D230" i="2" s="1"/>
  <c r="L229" i="1"/>
  <c r="D231" i="2" s="1"/>
  <c r="L230" i="1"/>
  <c r="D232" i="2" s="1"/>
  <c r="L231" i="1"/>
  <c r="D233" i="2" s="1"/>
  <c r="L232" i="1"/>
  <c r="D234" i="2" s="1"/>
  <c r="L233" i="1"/>
  <c r="D235" i="2" s="1"/>
  <c r="L234" i="1"/>
  <c r="D236" i="2" s="1"/>
  <c r="L235" i="1"/>
  <c r="D237" i="2" s="1"/>
  <c r="L236" i="1"/>
  <c r="D238" i="2" s="1"/>
  <c r="L237" i="1"/>
  <c r="L238" i="1"/>
  <c r="L239" i="1"/>
  <c r="D241" i="2" s="1"/>
  <c r="L240" i="1"/>
  <c r="D242" i="2" s="1"/>
  <c r="L241" i="1"/>
  <c r="L242" i="1"/>
  <c r="D244" i="2" s="1"/>
  <c r="L243" i="1"/>
  <c r="D245" i="2" s="1"/>
  <c r="L244" i="1"/>
  <c r="D246" i="2" s="1"/>
  <c r="L245" i="1"/>
  <c r="D247" i="2" s="1"/>
  <c r="L246" i="1"/>
  <c r="L247" i="1"/>
  <c r="L248" i="1"/>
  <c r="L249" i="1"/>
  <c r="D251" i="2" s="1"/>
  <c r="L250" i="1"/>
  <c r="D252" i="2" s="1"/>
  <c r="L251" i="1"/>
  <c r="D253" i="2" s="1"/>
  <c r="L252" i="1"/>
  <c r="D254" i="2" s="1"/>
  <c r="L253" i="1"/>
  <c r="D255" i="2" s="1"/>
  <c r="L254" i="1"/>
  <c r="L255" i="1"/>
  <c r="L256" i="1"/>
  <c r="D258" i="2" s="1"/>
  <c r="L257" i="1"/>
  <c r="D259" i="2" s="1"/>
  <c r="L258" i="1"/>
  <c r="D260" i="2" s="1"/>
  <c r="L259" i="1"/>
  <c r="D261" i="2" s="1"/>
  <c r="L260" i="1"/>
  <c r="D262" i="2" s="1"/>
  <c r="L261" i="1"/>
  <c r="D263" i="2" s="1"/>
  <c r="L262" i="1"/>
  <c r="D264" i="2" s="1"/>
  <c r="L263" i="1"/>
  <c r="D265" i="2" s="1"/>
  <c r="L264" i="1"/>
  <c r="D266" i="2" s="1"/>
  <c r="L265" i="1"/>
  <c r="D267" i="2" s="1"/>
  <c r="L266" i="1"/>
  <c r="D268" i="2" s="1"/>
  <c r="L267" i="1"/>
  <c r="D269" i="2" s="1"/>
  <c r="L268" i="1"/>
  <c r="D270" i="2" s="1"/>
  <c r="L269" i="1"/>
  <c r="D271" i="2" s="1"/>
  <c r="L270" i="1"/>
  <c r="D272" i="2" s="1"/>
  <c r="L271" i="1"/>
  <c r="D273" i="2" s="1"/>
  <c r="L272" i="1"/>
  <c r="L273" i="1"/>
  <c r="D275" i="2" s="1"/>
  <c r="L274" i="1"/>
  <c r="D276" i="2" s="1"/>
  <c r="L275" i="1"/>
  <c r="D277" i="2" s="1"/>
  <c r="L276" i="1"/>
  <c r="D278" i="2" s="1"/>
  <c r="L277" i="1"/>
  <c r="L278" i="1"/>
  <c r="D280" i="2" s="1"/>
  <c r="L279" i="1"/>
  <c r="D281" i="2" s="1"/>
  <c r="L280" i="1"/>
  <c r="L281" i="1"/>
  <c r="D283" i="2" s="1"/>
  <c r="L282" i="1"/>
  <c r="D284" i="2" s="1"/>
  <c r="L283" i="1"/>
  <c r="D285" i="2" s="1"/>
  <c r="L284" i="1"/>
  <c r="D286" i="2" s="1"/>
  <c r="L285" i="1"/>
  <c r="D287" i="2" s="1"/>
  <c r="L286" i="1"/>
  <c r="D288" i="2" s="1"/>
  <c r="L287" i="1"/>
  <c r="D289" i="2" s="1"/>
  <c r="L288" i="1"/>
  <c r="D290" i="2" s="1"/>
  <c r="L289" i="1"/>
  <c r="D291" i="2" s="1"/>
  <c r="L290" i="1"/>
  <c r="D292" i="2" s="1"/>
  <c r="L291" i="1"/>
  <c r="L292" i="1"/>
  <c r="L293" i="1"/>
  <c r="D295" i="2" s="1"/>
  <c r="L294" i="1"/>
  <c r="D296" i="2" s="1"/>
  <c r="L295" i="1"/>
  <c r="D297" i="2" s="1"/>
  <c r="L296" i="1"/>
  <c r="D298" i="2" s="1"/>
  <c r="L297" i="1"/>
  <c r="D299" i="2" s="1"/>
  <c r="L298" i="1"/>
  <c r="D300" i="2" s="1"/>
  <c r="L299" i="1"/>
  <c r="D301" i="2" s="1"/>
  <c r="L300" i="1"/>
  <c r="D302" i="2" s="1"/>
  <c r="L301" i="1"/>
  <c r="L302" i="1"/>
  <c r="L303" i="1"/>
  <c r="L304" i="1"/>
  <c r="L305" i="1"/>
  <c r="D307" i="2" s="1"/>
  <c r="L306" i="1"/>
  <c r="D308" i="2" s="1"/>
  <c r="L307" i="1"/>
  <c r="D309" i="2" s="1"/>
  <c r="L308" i="1"/>
  <c r="D310" i="2" s="1"/>
  <c r="L309" i="1"/>
  <c r="L310" i="1"/>
  <c r="D312" i="2" s="1"/>
  <c r="L311" i="1"/>
  <c r="D313" i="2" s="1"/>
  <c r="L312" i="1"/>
  <c r="D314" i="2" s="1"/>
  <c r="L313" i="1"/>
  <c r="L314" i="1"/>
  <c r="D316" i="2" s="1"/>
  <c r="L315" i="1"/>
  <c r="D317" i="2" s="1"/>
  <c r="L316" i="1"/>
  <c r="D318" i="2" s="1"/>
  <c r="L317" i="1"/>
  <c r="D319" i="2" s="1"/>
  <c r="L318" i="1"/>
  <c r="D320" i="2" s="1"/>
  <c r="L319" i="1"/>
  <c r="D321" i="2" s="1"/>
  <c r="L320" i="1"/>
  <c r="D322" i="2" s="1"/>
  <c r="L321" i="1"/>
  <c r="D323" i="2" s="1"/>
  <c r="L322" i="1"/>
  <c r="D324" i="2" s="1"/>
  <c r="L323" i="1"/>
  <c r="D325" i="2" s="1"/>
  <c r="L324" i="1"/>
  <c r="D326" i="2" s="1"/>
  <c r="L325" i="1"/>
  <c r="D327" i="2" s="1"/>
  <c r="L326" i="1"/>
  <c r="L327" i="1"/>
  <c r="D329" i="2" s="1"/>
  <c r="L328" i="1"/>
  <c r="D330" i="2" s="1"/>
  <c r="L329" i="1"/>
  <c r="D331" i="2" s="1"/>
  <c r="L330" i="1"/>
  <c r="D332" i="2" s="1"/>
  <c r="L331" i="1"/>
  <c r="L332" i="1"/>
  <c r="D334" i="2" s="1"/>
  <c r="L333" i="1"/>
  <c r="L334" i="1"/>
  <c r="D336" i="2" s="1"/>
  <c r="L335" i="1"/>
  <c r="D337" i="2" s="1"/>
  <c r="L336" i="1"/>
  <c r="L337" i="1"/>
  <c r="L338" i="1"/>
  <c r="D340" i="2" s="1"/>
  <c r="L339" i="1"/>
  <c r="L340" i="1"/>
  <c r="L341" i="1"/>
  <c r="D343" i="2" s="1"/>
  <c r="L342" i="1"/>
  <c r="D344" i="2" s="1"/>
  <c r="L343" i="1"/>
  <c r="D345" i="2" s="1"/>
  <c r="L344" i="1"/>
  <c r="D346" i="2" s="1"/>
  <c r="L345" i="1"/>
  <c r="L346" i="1"/>
  <c r="D348" i="2" s="1"/>
  <c r="L347" i="1"/>
  <c r="D349" i="2" s="1"/>
  <c r="L348" i="1"/>
  <c r="D350" i="2" s="1"/>
  <c r="L349" i="1"/>
  <c r="L350" i="1"/>
  <c r="D352" i="2" s="1"/>
  <c r="L351" i="1"/>
  <c r="D353" i="2" s="1"/>
  <c r="L352" i="1"/>
  <c r="D354" i="2" s="1"/>
  <c r="L353" i="1"/>
  <c r="D355" i="2" s="1"/>
  <c r="L354" i="1"/>
  <c r="D356" i="2" s="1"/>
  <c r="L355" i="1"/>
  <c r="D357" i="2" s="1"/>
  <c r="L356" i="1"/>
  <c r="D358" i="2" s="1"/>
  <c r="L357" i="1"/>
  <c r="L358" i="1"/>
  <c r="D360" i="2" s="1"/>
  <c r="L359" i="1"/>
  <c r="D361" i="2" s="1"/>
  <c r="L360" i="1"/>
  <c r="D362" i="2" s="1"/>
  <c r="L361" i="1"/>
  <c r="D363" i="2" s="1"/>
  <c r="L362" i="1"/>
  <c r="D364" i="2" s="1"/>
  <c r="L363" i="1"/>
  <c r="L364" i="1"/>
  <c r="D366" i="2" s="1"/>
  <c r="L365" i="1"/>
  <c r="D367" i="2" s="1"/>
  <c r="L366" i="1"/>
  <c r="D368" i="2" s="1"/>
  <c r="L367" i="1"/>
  <c r="L368" i="1"/>
  <c r="D370" i="2" s="1"/>
  <c r="L369" i="1"/>
  <c r="D371" i="2" s="1"/>
  <c r="D11" i="2"/>
  <c r="D16" i="2"/>
  <c r="D68" i="2"/>
  <c r="D69" i="2"/>
  <c r="D70" i="2"/>
  <c r="D106" i="2"/>
  <c r="D140" i="2"/>
  <c r="D141" i="2"/>
  <c r="D143" i="2"/>
  <c r="D144" i="2"/>
  <c r="D149" i="2"/>
  <c r="D167" i="2"/>
  <c r="D171" i="2"/>
  <c r="D178" i="2"/>
  <c r="D211" i="2"/>
  <c r="D212" i="2"/>
  <c r="D214" i="2"/>
  <c r="D215" i="2"/>
  <c r="D217" i="2"/>
  <c r="D248" i="2"/>
  <c r="D250" i="2"/>
  <c r="D303" i="2"/>
  <c r="D304" i="2"/>
  <c r="D305" i="2"/>
  <c r="D306" i="2"/>
  <c r="D311" i="2"/>
  <c r="D335" i="2"/>
  <c r="D338" i="2"/>
  <c r="D339" i="2"/>
  <c r="D341" i="2"/>
  <c r="D342" i="2"/>
  <c r="D347" i="2"/>
  <c r="D365" i="2"/>
  <c r="D369" i="2"/>
  <c r="D45" i="2"/>
  <c r="D4"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5" i="2"/>
  <c r="C6" i="2"/>
  <c r="C7" i="2"/>
  <c r="C8" i="2"/>
  <c r="C9" i="2"/>
  <c r="C10" i="2"/>
  <c r="C11" i="2"/>
  <c r="C12" i="2"/>
  <c r="C13" i="2"/>
  <c r="C14" i="2"/>
  <c r="C15" i="2"/>
  <c r="C16" i="2"/>
  <c r="C17" i="2"/>
  <c r="C18" i="2"/>
  <c r="C19" i="2"/>
  <c r="C20" i="2"/>
  <c r="C21" i="2"/>
  <c r="C22" i="2"/>
  <c r="C23" i="2"/>
  <c r="C24" i="2"/>
  <c r="C25" i="2"/>
  <c r="C26" i="2"/>
  <c r="C27" i="2"/>
  <c r="C28" i="2"/>
  <c r="C29" i="2"/>
  <c r="C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4"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5" i="2"/>
  <c r="A6" i="2"/>
  <c r="A7" i="2"/>
  <c r="A8" i="2"/>
  <c r="A9" i="2"/>
  <c r="A10" i="2"/>
  <c r="A11" i="2"/>
  <c r="A12" i="2"/>
  <c r="A13" i="2"/>
  <c r="A14" i="2"/>
  <c r="A15" i="2"/>
  <c r="A16" i="2"/>
  <c r="A17" i="2"/>
  <c r="A18" i="2"/>
  <c r="A4" i="2"/>
  <c r="V6" i="2"/>
  <c r="S369" i="1"/>
  <c r="N369" i="1"/>
  <c r="J369" i="1"/>
  <c r="I369" i="1"/>
  <c r="K369" i="1" s="1"/>
  <c r="H371" i="2" s="1"/>
  <c r="S368" i="1"/>
  <c r="N368" i="1"/>
  <c r="G370" i="2" s="1"/>
  <c r="J368" i="1"/>
  <c r="I368" i="1"/>
  <c r="K368" i="1" s="1"/>
  <c r="S367" i="1"/>
  <c r="N367" i="1"/>
  <c r="G369" i="2" s="1"/>
  <c r="J367" i="1"/>
  <c r="I367" i="1"/>
  <c r="S366" i="1"/>
  <c r="N366" i="1"/>
  <c r="G368" i="2" s="1"/>
  <c r="J366" i="1"/>
  <c r="I366" i="1"/>
  <c r="K366" i="1" s="1"/>
  <c r="H368" i="2" s="1"/>
  <c r="S365" i="1"/>
  <c r="N365" i="1"/>
  <c r="G367" i="2" s="1"/>
  <c r="J365" i="1"/>
  <c r="I365" i="1"/>
  <c r="F367" i="2" s="1"/>
  <c r="S364" i="1"/>
  <c r="N364" i="1"/>
  <c r="G366" i="2" s="1"/>
  <c r="J364" i="1"/>
  <c r="I364" i="1"/>
  <c r="S363" i="1"/>
  <c r="N363" i="1"/>
  <c r="G365" i="2" s="1"/>
  <c r="J363" i="1"/>
  <c r="I363" i="1"/>
  <c r="F365" i="2" s="1"/>
  <c r="S362" i="1"/>
  <c r="N362" i="1"/>
  <c r="G364" i="2" s="1"/>
  <c r="J362" i="1"/>
  <c r="I362" i="1"/>
  <c r="F364" i="2" s="1"/>
  <c r="S361" i="1"/>
  <c r="N361" i="1"/>
  <c r="G363" i="2" s="1"/>
  <c r="J361" i="1"/>
  <c r="I361" i="1"/>
  <c r="S360" i="1"/>
  <c r="N360" i="1"/>
  <c r="J360" i="1"/>
  <c r="I360" i="1"/>
  <c r="K360" i="1" s="1"/>
  <c r="S359" i="1"/>
  <c r="N359" i="1"/>
  <c r="J359" i="1"/>
  <c r="I359" i="1"/>
  <c r="K359" i="1" s="1"/>
  <c r="S358" i="1"/>
  <c r="N358" i="1"/>
  <c r="G360" i="2" s="1"/>
  <c r="J358" i="1"/>
  <c r="I358" i="1"/>
  <c r="S357" i="1"/>
  <c r="N357" i="1"/>
  <c r="G359" i="2" s="1"/>
  <c r="D359" i="2"/>
  <c r="J357" i="1"/>
  <c r="I357" i="1"/>
  <c r="S356" i="1"/>
  <c r="N356" i="1"/>
  <c r="J356" i="1"/>
  <c r="I356" i="1"/>
  <c r="S355" i="1"/>
  <c r="N355" i="1"/>
  <c r="J355" i="1"/>
  <c r="I355" i="1"/>
  <c r="F357" i="2" s="1"/>
  <c r="S354" i="1"/>
  <c r="N354" i="1"/>
  <c r="J354" i="1"/>
  <c r="I354" i="1"/>
  <c r="K354" i="1" s="1"/>
  <c r="H356" i="2" s="1"/>
  <c r="S353" i="1"/>
  <c r="N353" i="1"/>
  <c r="J353" i="1"/>
  <c r="I353" i="1"/>
  <c r="S352" i="1"/>
  <c r="N352" i="1"/>
  <c r="G354" i="2" s="1"/>
  <c r="J352" i="1"/>
  <c r="I352" i="1"/>
  <c r="S351" i="1"/>
  <c r="N351" i="1"/>
  <c r="J351" i="1"/>
  <c r="I351" i="1"/>
  <c r="K351" i="1" s="1"/>
  <c r="H353" i="2" s="1"/>
  <c r="S350" i="1"/>
  <c r="N350" i="1"/>
  <c r="J350" i="1"/>
  <c r="I350" i="1"/>
  <c r="K350" i="1" s="1"/>
  <c r="H352" i="2" s="1"/>
  <c r="S349" i="1"/>
  <c r="N349" i="1"/>
  <c r="G351" i="2" s="1"/>
  <c r="D351" i="2"/>
  <c r="J349" i="1"/>
  <c r="I349" i="1"/>
  <c r="F351" i="2" s="1"/>
  <c r="S348" i="1"/>
  <c r="N348" i="1"/>
  <c r="G350" i="2" s="1"/>
  <c r="J348" i="1"/>
  <c r="I348" i="1"/>
  <c r="K348" i="1" s="1"/>
  <c r="S347" i="1"/>
  <c r="N347" i="1"/>
  <c r="G349" i="2" s="1"/>
  <c r="J347" i="1"/>
  <c r="I347" i="1"/>
  <c r="S346" i="1"/>
  <c r="N346" i="1"/>
  <c r="G348" i="2" s="1"/>
  <c r="J346" i="1"/>
  <c r="I346" i="1"/>
  <c r="S345" i="1"/>
  <c r="N345" i="1"/>
  <c r="G347" i="2" s="1"/>
  <c r="J345" i="1"/>
  <c r="I345" i="1"/>
  <c r="S344" i="1"/>
  <c r="N344" i="1"/>
  <c r="G346" i="2" s="1"/>
  <c r="J344" i="1"/>
  <c r="I344" i="1"/>
  <c r="K344" i="1" s="1"/>
  <c r="S343" i="1"/>
  <c r="N343" i="1"/>
  <c r="J343" i="1"/>
  <c r="I343" i="1"/>
  <c r="S342" i="1"/>
  <c r="N342" i="1"/>
  <c r="G344" i="2" s="1"/>
  <c r="J342" i="1"/>
  <c r="I342" i="1"/>
  <c r="S341" i="1"/>
  <c r="N341" i="1"/>
  <c r="J341" i="1"/>
  <c r="I341" i="1"/>
  <c r="S340" i="1"/>
  <c r="N340" i="1"/>
  <c r="G342" i="2" s="1"/>
  <c r="J340" i="1"/>
  <c r="I340" i="1"/>
  <c r="K340" i="1" s="1"/>
  <c r="S339" i="1"/>
  <c r="N339" i="1"/>
  <c r="J339" i="1"/>
  <c r="I339" i="1"/>
  <c r="K339" i="1" s="1"/>
  <c r="H341" i="2" s="1"/>
  <c r="S338" i="1"/>
  <c r="N338" i="1"/>
  <c r="G340" i="2" s="1"/>
  <c r="J338" i="1"/>
  <c r="I338" i="1"/>
  <c r="F340" i="2" s="1"/>
  <c r="S337" i="1"/>
  <c r="N337" i="1"/>
  <c r="J337" i="1"/>
  <c r="I337" i="1"/>
  <c r="K337" i="1" s="1"/>
  <c r="S336" i="1"/>
  <c r="N336" i="1"/>
  <c r="G338" i="2" s="1"/>
  <c r="J336" i="1"/>
  <c r="I336" i="1"/>
  <c r="K336" i="1" s="1"/>
  <c r="H338" i="2" s="1"/>
  <c r="S335" i="1"/>
  <c r="N335" i="1"/>
  <c r="J335" i="1"/>
  <c r="I335" i="1"/>
  <c r="K335" i="1" s="1"/>
  <c r="H337" i="2" s="1"/>
  <c r="S334" i="1"/>
  <c r="N334" i="1"/>
  <c r="J334" i="1"/>
  <c r="I334" i="1"/>
  <c r="K334" i="1" s="1"/>
  <c r="H336" i="2" s="1"/>
  <c r="S333" i="1"/>
  <c r="N333" i="1"/>
  <c r="G335" i="2" s="1"/>
  <c r="J333" i="1"/>
  <c r="I333" i="1"/>
  <c r="K333" i="1" s="1"/>
  <c r="H335" i="2" s="1"/>
  <c r="S332" i="1"/>
  <c r="N332" i="1"/>
  <c r="G334" i="2" s="1"/>
  <c r="J332" i="1"/>
  <c r="I332" i="1"/>
  <c r="S331" i="1"/>
  <c r="N331" i="1"/>
  <c r="G333" i="2" s="1"/>
  <c r="D333" i="2"/>
  <c r="J331" i="1"/>
  <c r="K331" i="1" s="1"/>
  <c r="H333" i="2" s="1"/>
  <c r="I331" i="1"/>
  <c r="S330" i="1"/>
  <c r="N330" i="1"/>
  <c r="G332" i="2" s="1"/>
  <c r="J330" i="1"/>
  <c r="I330" i="1"/>
  <c r="F332" i="2" s="1"/>
  <c r="S329" i="1"/>
  <c r="N329" i="1"/>
  <c r="G331" i="2" s="1"/>
  <c r="J329" i="1"/>
  <c r="I329" i="1"/>
  <c r="K329" i="1" s="1"/>
  <c r="S328" i="1"/>
  <c r="N328" i="1"/>
  <c r="G330" i="2" s="1"/>
  <c r="J328" i="1"/>
  <c r="I328" i="1"/>
  <c r="F330" i="2" s="1"/>
  <c r="S327" i="1"/>
  <c r="N327" i="1"/>
  <c r="G329" i="2" s="1"/>
  <c r="J327" i="1"/>
  <c r="I327" i="1"/>
  <c r="F329" i="2" s="1"/>
  <c r="S326" i="1"/>
  <c r="N326" i="1"/>
  <c r="G328" i="2" s="1"/>
  <c r="D328" i="2"/>
  <c r="J326" i="1"/>
  <c r="I326" i="1"/>
  <c r="K326" i="1" s="1"/>
  <c r="S325" i="1"/>
  <c r="N325" i="1"/>
  <c r="G327" i="2" s="1"/>
  <c r="J325" i="1"/>
  <c r="I325" i="1"/>
  <c r="K325" i="1" s="1"/>
  <c r="H327" i="2" s="1"/>
  <c r="S324" i="1"/>
  <c r="N324" i="1"/>
  <c r="J324" i="1"/>
  <c r="I324" i="1"/>
  <c r="S323" i="1"/>
  <c r="N323" i="1"/>
  <c r="G325" i="2" s="1"/>
  <c r="J323" i="1"/>
  <c r="I323" i="1"/>
  <c r="K323" i="1" s="1"/>
  <c r="S322" i="1"/>
  <c r="N322" i="1"/>
  <c r="J322" i="1"/>
  <c r="I322" i="1"/>
  <c r="S321" i="1"/>
  <c r="N321" i="1"/>
  <c r="J321" i="1"/>
  <c r="I321" i="1"/>
  <c r="S320" i="1"/>
  <c r="N320" i="1"/>
  <c r="J320" i="1"/>
  <c r="I320" i="1"/>
  <c r="F322" i="2" s="1"/>
  <c r="S319" i="1"/>
  <c r="N319" i="1"/>
  <c r="J319" i="1"/>
  <c r="I319" i="1"/>
  <c r="S318" i="1"/>
  <c r="N318" i="1"/>
  <c r="J318" i="1"/>
  <c r="I318" i="1"/>
  <c r="K318" i="1" s="1"/>
  <c r="H320" i="2" s="1"/>
  <c r="S317" i="1"/>
  <c r="N317" i="1"/>
  <c r="G319" i="2" s="1"/>
  <c r="J317" i="1"/>
  <c r="I317" i="1"/>
  <c r="K317" i="1" s="1"/>
  <c r="S316" i="1"/>
  <c r="N316" i="1"/>
  <c r="J316" i="1"/>
  <c r="I316" i="1"/>
  <c r="K316" i="1" s="1"/>
  <c r="H318" i="2" s="1"/>
  <c r="S315" i="1"/>
  <c r="N315" i="1"/>
  <c r="G317" i="2" s="1"/>
  <c r="J315" i="1"/>
  <c r="I315" i="1"/>
  <c r="K315" i="1" s="1"/>
  <c r="H317" i="2" s="1"/>
  <c r="S314" i="1"/>
  <c r="N314" i="1"/>
  <c r="G316" i="2" s="1"/>
  <c r="J314" i="1"/>
  <c r="I314" i="1"/>
  <c r="K314" i="1" s="1"/>
  <c r="H316" i="2" s="1"/>
  <c r="S313" i="1"/>
  <c r="N313" i="1"/>
  <c r="G315" i="2" s="1"/>
  <c r="D315" i="2"/>
  <c r="J313" i="1"/>
  <c r="I313" i="1"/>
  <c r="K313" i="1" s="1"/>
  <c r="H315" i="2" s="1"/>
  <c r="S312" i="1"/>
  <c r="N312" i="1"/>
  <c r="J312" i="1"/>
  <c r="I312" i="1"/>
  <c r="S311" i="1"/>
  <c r="N311" i="1"/>
  <c r="G313" i="2" s="1"/>
  <c r="J311" i="1"/>
  <c r="I311" i="1"/>
  <c r="K311" i="1" s="1"/>
  <c r="S310" i="1"/>
  <c r="N310" i="1"/>
  <c r="G312" i="2" s="1"/>
  <c r="J310" i="1"/>
  <c r="I310" i="1"/>
  <c r="S309" i="1"/>
  <c r="N309" i="1"/>
  <c r="G311" i="2" s="1"/>
  <c r="J309" i="1"/>
  <c r="I309" i="1"/>
  <c r="K309" i="1" s="1"/>
  <c r="H311" i="2" s="1"/>
  <c r="S308" i="1"/>
  <c r="N308" i="1"/>
  <c r="G310" i="2" s="1"/>
  <c r="J308" i="1"/>
  <c r="I308" i="1"/>
  <c r="F310" i="2" s="1"/>
  <c r="S307" i="1"/>
  <c r="N307" i="1"/>
  <c r="G309" i="2" s="1"/>
  <c r="J307" i="1"/>
  <c r="I307" i="1"/>
  <c r="K307" i="1" s="1"/>
  <c r="S306" i="1"/>
  <c r="N306" i="1"/>
  <c r="G308" i="2" s="1"/>
  <c r="J306" i="1"/>
  <c r="I306" i="1"/>
  <c r="S305" i="1"/>
  <c r="N305" i="1"/>
  <c r="G307" i="2" s="1"/>
  <c r="J305" i="1"/>
  <c r="I305" i="1"/>
  <c r="S304" i="1"/>
  <c r="N304" i="1"/>
  <c r="G306" i="2" s="1"/>
  <c r="J304" i="1"/>
  <c r="I304" i="1"/>
  <c r="S303" i="1"/>
  <c r="N303" i="1"/>
  <c r="J303" i="1"/>
  <c r="I303" i="1"/>
  <c r="S302" i="1"/>
  <c r="N302" i="1"/>
  <c r="J302" i="1"/>
  <c r="I302" i="1"/>
  <c r="F304" i="2" s="1"/>
  <c r="S301" i="1"/>
  <c r="N301" i="1"/>
  <c r="J301" i="1"/>
  <c r="I301" i="1"/>
  <c r="S300" i="1"/>
  <c r="N300" i="1"/>
  <c r="G302" i="2" s="1"/>
  <c r="J300" i="1"/>
  <c r="I300" i="1"/>
  <c r="S299" i="1"/>
  <c r="N299" i="1"/>
  <c r="G301" i="2" s="1"/>
  <c r="J299" i="1"/>
  <c r="I299" i="1"/>
  <c r="S298" i="1"/>
  <c r="N298" i="1"/>
  <c r="J298" i="1"/>
  <c r="I298" i="1"/>
  <c r="S297" i="1"/>
  <c r="N297" i="1"/>
  <c r="J297" i="1"/>
  <c r="I297" i="1"/>
  <c r="K297" i="1" s="1"/>
  <c r="H299" i="2" s="1"/>
  <c r="S296" i="1"/>
  <c r="N296" i="1"/>
  <c r="J296" i="1"/>
  <c r="I296" i="1"/>
  <c r="S295" i="1"/>
  <c r="N295" i="1"/>
  <c r="G297" i="2" s="1"/>
  <c r="J295" i="1"/>
  <c r="I295" i="1"/>
  <c r="K295" i="1" s="1"/>
  <c r="H297" i="2" s="1"/>
  <c r="S294" i="1"/>
  <c r="N294" i="1"/>
  <c r="J294" i="1"/>
  <c r="I294" i="1"/>
  <c r="K294" i="1" s="1"/>
  <c r="H296" i="2" s="1"/>
  <c r="S293" i="1"/>
  <c r="N293" i="1"/>
  <c r="J293" i="1"/>
  <c r="I293" i="1"/>
  <c r="F295" i="2" s="1"/>
  <c r="S292" i="1"/>
  <c r="N292" i="1"/>
  <c r="G294" i="2" s="1"/>
  <c r="D294" i="2"/>
  <c r="J292" i="1"/>
  <c r="I292" i="1"/>
  <c r="F294" i="2" s="1"/>
  <c r="S291" i="1"/>
  <c r="N291" i="1"/>
  <c r="G293" i="2" s="1"/>
  <c r="D293" i="2"/>
  <c r="J291" i="1"/>
  <c r="I291" i="1"/>
  <c r="K291" i="1" s="1"/>
  <c r="S290" i="1"/>
  <c r="N290" i="1"/>
  <c r="G292" i="2" s="1"/>
  <c r="J290" i="1"/>
  <c r="I290" i="1"/>
  <c r="K290" i="1" s="1"/>
  <c r="S289" i="1"/>
  <c r="N289" i="1"/>
  <c r="G291" i="2" s="1"/>
  <c r="J289" i="1"/>
  <c r="I289" i="1"/>
  <c r="S288" i="1"/>
  <c r="N288" i="1"/>
  <c r="G290" i="2" s="1"/>
  <c r="J288" i="1"/>
  <c r="I288" i="1"/>
  <c r="F290" i="2" s="1"/>
  <c r="S287" i="1"/>
  <c r="N287" i="1"/>
  <c r="G289" i="2" s="1"/>
  <c r="J287" i="1"/>
  <c r="I287" i="1"/>
  <c r="K287" i="1" s="1"/>
  <c r="H289" i="2" s="1"/>
  <c r="S286" i="1"/>
  <c r="N286" i="1"/>
  <c r="J286" i="1"/>
  <c r="I286" i="1"/>
  <c r="K286" i="1" s="1"/>
  <c r="S285" i="1"/>
  <c r="N285" i="1"/>
  <c r="J285" i="1"/>
  <c r="I285" i="1"/>
  <c r="F287" i="2" s="1"/>
  <c r="S284" i="1"/>
  <c r="N284" i="1"/>
  <c r="J284" i="1"/>
  <c r="I284" i="1"/>
  <c r="F286" i="2" s="1"/>
  <c r="S283" i="1"/>
  <c r="N283" i="1"/>
  <c r="G285" i="2" s="1"/>
  <c r="J283" i="1"/>
  <c r="I283" i="1"/>
  <c r="S282" i="1"/>
  <c r="N282" i="1"/>
  <c r="J282" i="1"/>
  <c r="I282" i="1"/>
  <c r="S281" i="1"/>
  <c r="N281" i="1"/>
  <c r="J281" i="1"/>
  <c r="I281" i="1"/>
  <c r="K281" i="1" s="1"/>
  <c r="H283" i="2" s="1"/>
  <c r="S280" i="1"/>
  <c r="N280" i="1"/>
  <c r="D282" i="2"/>
  <c r="J280" i="1"/>
  <c r="I280" i="1"/>
  <c r="K280" i="1" s="1"/>
  <c r="S279" i="1"/>
  <c r="N279" i="1"/>
  <c r="G281" i="2" s="1"/>
  <c r="J279" i="1"/>
  <c r="I279" i="1"/>
  <c r="S278" i="1"/>
  <c r="N278" i="1"/>
  <c r="G280" i="2" s="1"/>
  <c r="J278" i="1"/>
  <c r="I278" i="1"/>
  <c r="S277" i="1"/>
  <c r="N277" i="1"/>
  <c r="D279" i="2"/>
  <c r="J277" i="1"/>
  <c r="I277" i="1"/>
  <c r="K277" i="1" s="1"/>
  <c r="H279" i="2" s="1"/>
  <c r="S276" i="1"/>
  <c r="N276" i="1"/>
  <c r="G278" i="2" s="1"/>
  <c r="J276" i="1"/>
  <c r="I276" i="1"/>
  <c r="K276" i="1" s="1"/>
  <c r="H278" i="2" s="1"/>
  <c r="S275" i="1"/>
  <c r="N275" i="1"/>
  <c r="G277" i="2" s="1"/>
  <c r="J275" i="1"/>
  <c r="I275" i="1"/>
  <c r="F277" i="2" s="1"/>
  <c r="S274" i="1"/>
  <c r="N274" i="1"/>
  <c r="G276" i="2" s="1"/>
  <c r="J274" i="1"/>
  <c r="I274" i="1"/>
  <c r="S273" i="1"/>
  <c r="N273" i="1"/>
  <c r="J273" i="1"/>
  <c r="I273" i="1"/>
  <c r="K273" i="1" s="1"/>
  <c r="S272" i="1"/>
  <c r="N272" i="1"/>
  <c r="G274" i="2" s="1"/>
  <c r="D274" i="2"/>
  <c r="J272" i="1"/>
  <c r="I272" i="1"/>
  <c r="S271" i="1"/>
  <c r="N271" i="1"/>
  <c r="G273" i="2" s="1"/>
  <c r="J271" i="1"/>
  <c r="I271" i="1"/>
  <c r="F273" i="2" s="1"/>
  <c r="S270" i="1"/>
  <c r="N270" i="1"/>
  <c r="G272" i="2" s="1"/>
  <c r="J270" i="1"/>
  <c r="I270" i="1"/>
  <c r="F272" i="2" s="1"/>
  <c r="S269" i="1"/>
  <c r="N269" i="1"/>
  <c r="G271" i="2" s="1"/>
  <c r="J269" i="1"/>
  <c r="I269" i="1"/>
  <c r="K269" i="1" s="1"/>
  <c r="S268" i="1"/>
  <c r="N268" i="1"/>
  <c r="G270" i="2" s="1"/>
  <c r="J268" i="1"/>
  <c r="I268" i="1"/>
  <c r="S267" i="1"/>
  <c r="N267" i="1"/>
  <c r="G269" i="2" s="1"/>
  <c r="J267" i="1"/>
  <c r="I267" i="1"/>
  <c r="S266" i="1"/>
  <c r="N266" i="1"/>
  <c r="G268" i="2" s="1"/>
  <c r="J266" i="1"/>
  <c r="I266" i="1"/>
  <c r="F268" i="2" s="1"/>
  <c r="S265" i="1"/>
  <c r="N265" i="1"/>
  <c r="J265" i="1"/>
  <c r="I265" i="1"/>
  <c r="K265" i="1" s="1"/>
  <c r="S264" i="1"/>
  <c r="N264" i="1"/>
  <c r="J264" i="1"/>
  <c r="I264" i="1"/>
  <c r="F266" i="2" s="1"/>
  <c r="S263" i="1"/>
  <c r="N263" i="1"/>
  <c r="G265" i="2" s="1"/>
  <c r="J263" i="1"/>
  <c r="I263" i="1"/>
  <c r="S262" i="1"/>
  <c r="N262" i="1"/>
  <c r="G264" i="2" s="1"/>
  <c r="J262" i="1"/>
  <c r="I262" i="1"/>
  <c r="S261" i="1"/>
  <c r="N261" i="1"/>
  <c r="G263" i="2" s="1"/>
  <c r="J261" i="1"/>
  <c r="I261" i="1"/>
  <c r="K261" i="1" s="1"/>
  <c r="S260" i="1"/>
  <c r="N260" i="1"/>
  <c r="J260" i="1"/>
  <c r="I260" i="1"/>
  <c r="K260" i="1" s="1"/>
  <c r="S259" i="1"/>
  <c r="N259" i="1"/>
  <c r="J259" i="1"/>
  <c r="I259" i="1"/>
  <c r="S258" i="1"/>
  <c r="N258" i="1"/>
  <c r="J258" i="1"/>
  <c r="I258" i="1"/>
  <c r="F260" i="2" s="1"/>
  <c r="S257" i="1"/>
  <c r="N257" i="1"/>
  <c r="G259" i="2" s="1"/>
  <c r="J257" i="1"/>
  <c r="I257" i="1"/>
  <c r="F259" i="2" s="1"/>
  <c r="S256" i="1"/>
  <c r="N256" i="1"/>
  <c r="G258" i="2" s="1"/>
  <c r="J256" i="1"/>
  <c r="I256" i="1"/>
  <c r="K256" i="1" s="1"/>
  <c r="H258" i="2" s="1"/>
  <c r="S255" i="1"/>
  <c r="N255" i="1"/>
  <c r="D257" i="2"/>
  <c r="J255" i="1"/>
  <c r="I255" i="1"/>
  <c r="K255" i="1" s="1"/>
  <c r="H257" i="2" s="1"/>
  <c r="S254" i="1"/>
  <c r="N254" i="1"/>
  <c r="G256" i="2" s="1"/>
  <c r="D256" i="2"/>
  <c r="J254" i="1"/>
  <c r="I254" i="1"/>
  <c r="K254" i="1" s="1"/>
  <c r="H256" i="2" s="1"/>
  <c r="S253" i="1"/>
  <c r="N253" i="1"/>
  <c r="G255" i="2" s="1"/>
  <c r="J253" i="1"/>
  <c r="I253" i="1"/>
  <c r="K253" i="1" s="1"/>
  <c r="S252" i="1"/>
  <c r="N252" i="1"/>
  <c r="G254" i="2" s="1"/>
  <c r="J252" i="1"/>
  <c r="I252" i="1"/>
  <c r="S251" i="1"/>
  <c r="N251" i="1"/>
  <c r="G253" i="2" s="1"/>
  <c r="J251" i="1"/>
  <c r="I251" i="1"/>
  <c r="S250" i="1"/>
  <c r="N250" i="1"/>
  <c r="G252" i="2" s="1"/>
  <c r="J250" i="1"/>
  <c r="I250" i="1"/>
  <c r="F252" i="2" s="1"/>
  <c r="S249" i="1"/>
  <c r="N249" i="1"/>
  <c r="G251" i="2" s="1"/>
  <c r="J249" i="1"/>
  <c r="I249" i="1"/>
  <c r="F251" i="2" s="1"/>
  <c r="S248" i="1"/>
  <c r="N248" i="1"/>
  <c r="G250" i="2" s="1"/>
  <c r="J248" i="1"/>
  <c r="I248" i="1"/>
  <c r="F250" i="2" s="1"/>
  <c r="S247" i="1"/>
  <c r="N247" i="1"/>
  <c r="D249" i="2"/>
  <c r="J247" i="1"/>
  <c r="I247" i="1"/>
  <c r="S246" i="1"/>
  <c r="N246" i="1"/>
  <c r="J246" i="1"/>
  <c r="I246" i="1"/>
  <c r="F248" i="2" s="1"/>
  <c r="S245" i="1"/>
  <c r="N245" i="1"/>
  <c r="G247" i="2" s="1"/>
  <c r="J245" i="1"/>
  <c r="I245" i="1"/>
  <c r="S244" i="1"/>
  <c r="N244" i="1"/>
  <c r="G246" i="2" s="1"/>
  <c r="J244" i="1"/>
  <c r="I244" i="1"/>
  <c r="K244" i="1" s="1"/>
  <c r="S243" i="1"/>
  <c r="N243" i="1"/>
  <c r="J243" i="1"/>
  <c r="I243" i="1"/>
  <c r="F245" i="2" s="1"/>
  <c r="S242" i="1"/>
  <c r="N242" i="1"/>
  <c r="J242" i="1"/>
  <c r="I242" i="1"/>
  <c r="K242" i="1" s="1"/>
  <c r="H244" i="2" s="1"/>
  <c r="S241" i="1"/>
  <c r="N241" i="1"/>
  <c r="G243" i="2" s="1"/>
  <c r="D243" i="2"/>
  <c r="J241" i="1"/>
  <c r="I241" i="1"/>
  <c r="K241" i="1" s="1"/>
  <c r="H243" i="2" s="1"/>
  <c r="S240" i="1"/>
  <c r="N240" i="1"/>
  <c r="G242" i="2" s="1"/>
  <c r="J240" i="1"/>
  <c r="I240" i="1"/>
  <c r="K240" i="1" s="1"/>
  <c r="H242" i="2" s="1"/>
  <c r="S239" i="1"/>
  <c r="N239" i="1"/>
  <c r="J239" i="1"/>
  <c r="I239" i="1"/>
  <c r="K239" i="1" s="1"/>
  <c r="H241" i="2" s="1"/>
  <c r="S238" i="1"/>
  <c r="N238" i="1"/>
  <c r="G240" i="2" s="1"/>
  <c r="D240" i="2"/>
  <c r="J238" i="1"/>
  <c r="I238" i="1"/>
  <c r="S237" i="1"/>
  <c r="N237" i="1"/>
  <c r="G239" i="2" s="1"/>
  <c r="D239" i="2"/>
  <c r="J237" i="1"/>
  <c r="I237" i="1"/>
  <c r="S236" i="1"/>
  <c r="N236" i="1"/>
  <c r="J236" i="1"/>
  <c r="I236" i="1"/>
  <c r="K236" i="1" s="1"/>
  <c r="H238" i="2" s="1"/>
  <c r="S235" i="1"/>
  <c r="N235" i="1"/>
  <c r="J235" i="1"/>
  <c r="I235" i="1"/>
  <c r="K235" i="1" s="1"/>
  <c r="S234" i="1"/>
  <c r="N234" i="1"/>
  <c r="G236" i="2" s="1"/>
  <c r="J234" i="1"/>
  <c r="I234" i="1"/>
  <c r="S233" i="1"/>
  <c r="N233" i="1"/>
  <c r="G235" i="2" s="1"/>
  <c r="J233" i="1"/>
  <c r="I233" i="1"/>
  <c r="F235" i="2" s="1"/>
  <c r="S232" i="1"/>
  <c r="N232" i="1"/>
  <c r="G234" i="2" s="1"/>
  <c r="J232" i="1"/>
  <c r="I232" i="1"/>
  <c r="K232" i="1" s="1"/>
  <c r="S231" i="1"/>
  <c r="N231" i="1"/>
  <c r="G233" i="2" s="1"/>
  <c r="J231" i="1"/>
  <c r="I231" i="1"/>
  <c r="K231" i="1" s="1"/>
  <c r="S230" i="1"/>
  <c r="N230" i="1"/>
  <c r="G232" i="2" s="1"/>
  <c r="J230" i="1"/>
  <c r="I230" i="1"/>
  <c r="S229" i="1"/>
  <c r="N229" i="1"/>
  <c r="G231" i="2" s="1"/>
  <c r="J229" i="1"/>
  <c r="I229" i="1"/>
  <c r="F231" i="2" s="1"/>
  <c r="S228" i="1"/>
  <c r="N228" i="1"/>
  <c r="G230" i="2" s="1"/>
  <c r="J228" i="1"/>
  <c r="I228" i="1"/>
  <c r="S227" i="1"/>
  <c r="N227" i="1"/>
  <c r="J227" i="1"/>
  <c r="I227" i="1"/>
  <c r="F229" i="2" s="1"/>
  <c r="S226" i="1"/>
  <c r="N226" i="1"/>
  <c r="J226" i="1"/>
  <c r="I226" i="1"/>
  <c r="S225" i="1"/>
  <c r="N225" i="1"/>
  <c r="J225" i="1"/>
  <c r="I225" i="1"/>
  <c r="S224" i="1"/>
  <c r="N224" i="1"/>
  <c r="G226" i="2" s="1"/>
  <c r="J224" i="1"/>
  <c r="I224" i="1"/>
  <c r="S223" i="1"/>
  <c r="N223" i="1"/>
  <c r="G225" i="2" s="1"/>
  <c r="D225" i="2"/>
  <c r="J223" i="1"/>
  <c r="I223" i="1"/>
  <c r="S222" i="1"/>
  <c r="N222" i="1"/>
  <c r="J222" i="1"/>
  <c r="I222" i="1"/>
  <c r="S221" i="1"/>
  <c r="N221" i="1"/>
  <c r="J221" i="1"/>
  <c r="I221" i="1"/>
  <c r="K221" i="1" s="1"/>
  <c r="H223" i="2" s="1"/>
  <c r="S220" i="1"/>
  <c r="N220" i="1"/>
  <c r="G222" i="2" s="1"/>
  <c r="D222" i="2"/>
  <c r="J220" i="1"/>
  <c r="I220" i="1"/>
  <c r="S219" i="1"/>
  <c r="N219" i="1"/>
  <c r="G221" i="2" s="1"/>
  <c r="D221" i="2"/>
  <c r="J219" i="1"/>
  <c r="I219" i="1"/>
  <c r="K219" i="1" s="1"/>
  <c r="H221" i="2" s="1"/>
  <c r="S218" i="1"/>
  <c r="N218" i="1"/>
  <c r="G220" i="2" s="1"/>
  <c r="J218" i="1"/>
  <c r="I218" i="1"/>
  <c r="S217" i="1"/>
  <c r="N217" i="1"/>
  <c r="J217" i="1"/>
  <c r="I217" i="1"/>
  <c r="K217" i="1" s="1"/>
  <c r="H219" i="2" s="1"/>
  <c r="S216" i="1"/>
  <c r="N216" i="1"/>
  <c r="G218" i="2" s="1"/>
  <c r="J216" i="1"/>
  <c r="I216" i="1"/>
  <c r="K216" i="1" s="1"/>
  <c r="H218" i="2" s="1"/>
  <c r="S215" i="1"/>
  <c r="N215" i="1"/>
  <c r="G217" i="2" s="1"/>
  <c r="J215" i="1"/>
  <c r="I215" i="1"/>
  <c r="S214" i="1"/>
  <c r="N214" i="1"/>
  <c r="G216" i="2" s="1"/>
  <c r="J214" i="1"/>
  <c r="I214" i="1"/>
  <c r="K214" i="1" s="1"/>
  <c r="S213" i="1"/>
  <c r="N213" i="1"/>
  <c r="G215" i="2" s="1"/>
  <c r="J213" i="1"/>
  <c r="I213" i="1"/>
  <c r="K213" i="1" s="1"/>
  <c r="S212" i="1"/>
  <c r="N212" i="1"/>
  <c r="G214" i="2" s="1"/>
  <c r="J212" i="1"/>
  <c r="I212" i="1"/>
  <c r="S211" i="1"/>
  <c r="N211" i="1"/>
  <c r="G213" i="2" s="1"/>
  <c r="D213" i="2"/>
  <c r="J211" i="1"/>
  <c r="I211" i="1"/>
  <c r="K211" i="1" s="1"/>
  <c r="H213" i="2" s="1"/>
  <c r="S210" i="1"/>
  <c r="N210" i="1"/>
  <c r="J210" i="1"/>
  <c r="I210" i="1"/>
  <c r="K210" i="1" s="1"/>
  <c r="H212" i="2" s="1"/>
  <c r="S209" i="1"/>
  <c r="N209" i="1"/>
  <c r="G211" i="2" s="1"/>
  <c r="J209" i="1"/>
  <c r="I209" i="1"/>
  <c r="F211" i="2" s="1"/>
  <c r="S208" i="1"/>
  <c r="N208" i="1"/>
  <c r="G210" i="2" s="1"/>
  <c r="D210" i="2"/>
  <c r="J208" i="1"/>
  <c r="I208" i="1"/>
  <c r="S207" i="1"/>
  <c r="N207" i="1"/>
  <c r="G209" i="2" s="1"/>
  <c r="D209" i="2"/>
  <c r="J207" i="1"/>
  <c r="I207" i="1"/>
  <c r="S206" i="1"/>
  <c r="N206" i="1"/>
  <c r="J206" i="1"/>
  <c r="I206" i="1"/>
  <c r="K206" i="1" s="1"/>
  <c r="S205" i="1"/>
  <c r="N205" i="1"/>
  <c r="G207" i="2" s="1"/>
  <c r="D207" i="2"/>
  <c r="J205" i="1"/>
  <c r="I205" i="1"/>
  <c r="F207" i="2" s="1"/>
  <c r="S204" i="1"/>
  <c r="N204" i="1"/>
  <c r="G206" i="2" s="1"/>
  <c r="D206" i="2"/>
  <c r="J204" i="1"/>
  <c r="I204" i="1"/>
  <c r="F206" i="2" s="1"/>
  <c r="S203" i="1"/>
  <c r="N203" i="1"/>
  <c r="J203" i="1"/>
  <c r="I203" i="1"/>
  <c r="S202" i="1"/>
  <c r="N202" i="1"/>
  <c r="G204" i="2" s="1"/>
  <c r="J202" i="1"/>
  <c r="I202" i="1"/>
  <c r="K202" i="1" s="1"/>
  <c r="H204" i="2" s="1"/>
  <c r="S201" i="1"/>
  <c r="N201" i="1"/>
  <c r="J201" i="1"/>
  <c r="I201" i="1"/>
  <c r="K201" i="1" s="1"/>
  <c r="H203" i="2" s="1"/>
  <c r="S200" i="1"/>
  <c r="N200" i="1"/>
  <c r="G202" i="2" s="1"/>
  <c r="D202" i="2"/>
  <c r="J200" i="1"/>
  <c r="I200" i="1"/>
  <c r="F202" i="2" s="1"/>
  <c r="S199" i="1"/>
  <c r="N199" i="1"/>
  <c r="G201" i="2" s="1"/>
  <c r="J199" i="1"/>
  <c r="I199" i="1"/>
  <c r="K199" i="1" s="1"/>
  <c r="H201" i="2" s="1"/>
  <c r="S198" i="1"/>
  <c r="N198" i="1"/>
  <c r="J198" i="1"/>
  <c r="I198" i="1"/>
  <c r="K198" i="1" s="1"/>
  <c r="H200" i="2" s="1"/>
  <c r="S197" i="1"/>
  <c r="N197" i="1"/>
  <c r="J197" i="1"/>
  <c r="I197" i="1"/>
  <c r="F199" i="2" s="1"/>
  <c r="S196" i="1"/>
  <c r="N196" i="1"/>
  <c r="G198" i="2" s="1"/>
  <c r="J196" i="1"/>
  <c r="I196" i="1"/>
  <c r="K196" i="1" s="1"/>
  <c r="H198" i="2" s="1"/>
  <c r="S195" i="1"/>
  <c r="N195" i="1"/>
  <c r="G197" i="2" s="1"/>
  <c r="J195" i="1"/>
  <c r="I195" i="1"/>
  <c r="K195" i="1" s="1"/>
  <c r="S194" i="1"/>
  <c r="N194" i="1"/>
  <c r="G196" i="2" s="1"/>
  <c r="J194" i="1"/>
  <c r="I194" i="1"/>
  <c r="S193" i="1"/>
  <c r="N193" i="1"/>
  <c r="G195" i="2" s="1"/>
  <c r="J193" i="1"/>
  <c r="I193" i="1"/>
  <c r="S192" i="1"/>
  <c r="N192" i="1"/>
  <c r="G194" i="2" s="1"/>
  <c r="J192" i="1"/>
  <c r="I192" i="1"/>
  <c r="S191" i="1"/>
  <c r="N191" i="1"/>
  <c r="G193" i="2" s="1"/>
  <c r="J191" i="1"/>
  <c r="I191" i="1"/>
  <c r="F193" i="2" s="1"/>
  <c r="S190" i="1"/>
  <c r="N190" i="1"/>
  <c r="G192" i="2" s="1"/>
  <c r="J190" i="1"/>
  <c r="I190" i="1"/>
  <c r="F192" i="2" s="1"/>
  <c r="S189" i="1"/>
  <c r="N189" i="1"/>
  <c r="J189" i="1"/>
  <c r="I189" i="1"/>
  <c r="S188" i="1"/>
  <c r="N188" i="1"/>
  <c r="J188" i="1"/>
  <c r="I188" i="1"/>
  <c r="S187" i="1"/>
  <c r="N187" i="1"/>
  <c r="G189" i="2" s="1"/>
  <c r="J187" i="1"/>
  <c r="I187" i="1"/>
  <c r="F189" i="2" s="1"/>
  <c r="S186" i="1"/>
  <c r="N186" i="1"/>
  <c r="G188" i="2" s="1"/>
  <c r="J186" i="1"/>
  <c r="I186" i="1"/>
  <c r="K186" i="1" s="1"/>
  <c r="H188" i="2" s="1"/>
  <c r="S185" i="1"/>
  <c r="N185" i="1"/>
  <c r="J185" i="1"/>
  <c r="I185" i="1"/>
  <c r="S184" i="1"/>
  <c r="N184" i="1"/>
  <c r="G186" i="2" s="1"/>
  <c r="J184" i="1"/>
  <c r="I184" i="1"/>
  <c r="S183" i="1"/>
  <c r="N183" i="1"/>
  <c r="G185" i="2" s="1"/>
  <c r="D185" i="2"/>
  <c r="J183" i="1"/>
  <c r="I183" i="1"/>
  <c r="F185" i="2" s="1"/>
  <c r="S182" i="1"/>
  <c r="N182" i="1"/>
  <c r="G184" i="2" s="1"/>
  <c r="J182" i="1"/>
  <c r="I182" i="1"/>
  <c r="K182" i="1" s="1"/>
  <c r="H184" i="2" s="1"/>
  <c r="S181" i="1"/>
  <c r="N181" i="1"/>
  <c r="G183" i="2" s="1"/>
  <c r="J181" i="1"/>
  <c r="I181" i="1"/>
  <c r="K181" i="1" s="1"/>
  <c r="H183" i="2" s="1"/>
  <c r="S180" i="1"/>
  <c r="N180" i="1"/>
  <c r="G182" i="2" s="1"/>
  <c r="J180" i="1"/>
  <c r="I180" i="1"/>
  <c r="K180" i="1" s="1"/>
  <c r="H182" i="2" s="1"/>
  <c r="S179" i="1"/>
  <c r="N179" i="1"/>
  <c r="G181" i="2" s="1"/>
  <c r="J179" i="1"/>
  <c r="I179" i="1"/>
  <c r="K179" i="1" s="1"/>
  <c r="H181" i="2" s="1"/>
  <c r="S178" i="1"/>
  <c r="N178" i="1"/>
  <c r="G180" i="2" s="1"/>
  <c r="D180" i="2"/>
  <c r="J178" i="1"/>
  <c r="I178" i="1"/>
  <c r="K178" i="1" s="1"/>
  <c r="S177" i="1"/>
  <c r="N177" i="1"/>
  <c r="G179" i="2" s="1"/>
  <c r="J177" i="1"/>
  <c r="I177" i="1"/>
  <c r="F179" i="2" s="1"/>
  <c r="S176" i="1"/>
  <c r="N176" i="1"/>
  <c r="G178" i="2" s="1"/>
  <c r="J176" i="1"/>
  <c r="I176" i="1"/>
  <c r="F178" i="2" s="1"/>
  <c r="S175" i="1"/>
  <c r="N175" i="1"/>
  <c r="G177" i="2" s="1"/>
  <c r="J175" i="1"/>
  <c r="I175" i="1"/>
  <c r="K175" i="1" s="1"/>
  <c r="H177" i="2" s="1"/>
  <c r="S174" i="1"/>
  <c r="N174" i="1"/>
  <c r="G176" i="2" s="1"/>
  <c r="D176" i="2"/>
  <c r="J174" i="1"/>
  <c r="I174" i="1"/>
  <c r="K174" i="1" s="1"/>
  <c r="H176" i="2" s="1"/>
  <c r="S173" i="1"/>
  <c r="N173" i="1"/>
  <c r="G175" i="2" s="1"/>
  <c r="J173" i="1"/>
  <c r="I173" i="1"/>
  <c r="F175" i="2" s="1"/>
  <c r="S172" i="1"/>
  <c r="N172" i="1"/>
  <c r="G174" i="2" s="1"/>
  <c r="J172" i="1"/>
  <c r="I172" i="1"/>
  <c r="K172" i="1" s="1"/>
  <c r="S171" i="1"/>
  <c r="N171" i="1"/>
  <c r="G173" i="2" s="1"/>
  <c r="J171" i="1"/>
  <c r="I171" i="1"/>
  <c r="S170" i="1"/>
  <c r="N170" i="1"/>
  <c r="G172" i="2" s="1"/>
  <c r="D172" i="2"/>
  <c r="J170" i="1"/>
  <c r="I170" i="1"/>
  <c r="K170" i="1" s="1"/>
  <c r="S169" i="1"/>
  <c r="N169" i="1"/>
  <c r="J169" i="1"/>
  <c r="I169" i="1"/>
  <c r="F171" i="2" s="1"/>
  <c r="S168" i="1"/>
  <c r="N168" i="1"/>
  <c r="J168" i="1"/>
  <c r="I168" i="1"/>
  <c r="S167" i="1"/>
  <c r="N167" i="1"/>
  <c r="J167" i="1"/>
  <c r="I167" i="1"/>
  <c r="S166" i="1"/>
  <c r="N166" i="1"/>
  <c r="G168" i="2" s="1"/>
  <c r="D168" i="2"/>
  <c r="J166" i="1"/>
  <c r="I166" i="1"/>
  <c r="S165" i="1"/>
  <c r="N165" i="1"/>
  <c r="J165" i="1"/>
  <c r="I165" i="1"/>
  <c r="S164" i="1"/>
  <c r="N164" i="1"/>
  <c r="J164" i="1"/>
  <c r="I164" i="1"/>
  <c r="K164" i="1" s="1"/>
  <c r="H166" i="2" s="1"/>
  <c r="S163" i="1"/>
  <c r="N163" i="1"/>
  <c r="J163" i="1"/>
  <c r="I163" i="1"/>
  <c r="K163" i="1" s="1"/>
  <c r="H165" i="2" s="1"/>
  <c r="S162" i="1"/>
  <c r="N162" i="1"/>
  <c r="J162" i="1"/>
  <c r="I162" i="1"/>
  <c r="S161" i="1"/>
  <c r="N161" i="1"/>
  <c r="G163" i="2" s="1"/>
  <c r="J161" i="1"/>
  <c r="I161" i="1"/>
  <c r="F163" i="2" s="1"/>
  <c r="S160" i="1"/>
  <c r="N160" i="1"/>
  <c r="G162" i="2" s="1"/>
  <c r="J160" i="1"/>
  <c r="I160" i="1"/>
  <c r="K160" i="1" s="1"/>
  <c r="H162" i="2" s="1"/>
  <c r="S159" i="1"/>
  <c r="N159" i="1"/>
  <c r="G161" i="2" s="1"/>
  <c r="J159" i="1"/>
  <c r="I159" i="1"/>
  <c r="K159" i="1" s="1"/>
  <c r="H161" i="2" s="1"/>
  <c r="S158" i="1"/>
  <c r="N158" i="1"/>
  <c r="G160" i="2" s="1"/>
  <c r="J158" i="1"/>
  <c r="I158" i="1"/>
  <c r="S157" i="1"/>
  <c r="N157" i="1"/>
  <c r="G159" i="2" s="1"/>
  <c r="J157" i="1"/>
  <c r="I157" i="1"/>
  <c r="K157" i="1" s="1"/>
  <c r="S156" i="1"/>
  <c r="N156" i="1"/>
  <c r="G158" i="2" s="1"/>
  <c r="J156" i="1"/>
  <c r="I156" i="1"/>
  <c r="K156" i="1" s="1"/>
  <c r="H158" i="2" s="1"/>
  <c r="S155" i="1"/>
  <c r="N155" i="1"/>
  <c r="G157" i="2" s="1"/>
  <c r="J155" i="1"/>
  <c r="I155" i="1"/>
  <c r="F157" i="2" s="1"/>
  <c r="S154" i="1"/>
  <c r="N154" i="1"/>
  <c r="G156" i="2" s="1"/>
  <c r="J154" i="1"/>
  <c r="I154" i="1"/>
  <c r="K154" i="1" s="1"/>
  <c r="H156" i="2" s="1"/>
  <c r="S153" i="1"/>
  <c r="N153" i="1"/>
  <c r="J153" i="1"/>
  <c r="I153" i="1"/>
  <c r="K153" i="1" s="1"/>
  <c r="S152" i="1"/>
  <c r="N152" i="1"/>
  <c r="D154" i="2"/>
  <c r="J152" i="1"/>
  <c r="I152" i="1"/>
  <c r="S151" i="1"/>
  <c r="N151" i="1"/>
  <c r="J151" i="1"/>
  <c r="I151" i="1"/>
  <c r="F153" i="2" s="1"/>
  <c r="S150" i="1"/>
  <c r="N150" i="1"/>
  <c r="G152" i="2" s="1"/>
  <c r="J150" i="1"/>
  <c r="I150" i="1"/>
  <c r="S149" i="1"/>
  <c r="N149" i="1"/>
  <c r="G151" i="2" s="1"/>
  <c r="J149" i="1"/>
  <c r="I149" i="1"/>
  <c r="K149" i="1" s="1"/>
  <c r="S148" i="1"/>
  <c r="N148" i="1"/>
  <c r="G150" i="2" s="1"/>
  <c r="D150" i="2"/>
  <c r="J148" i="1"/>
  <c r="K148" i="1" s="1"/>
  <c r="H150" i="2" s="1"/>
  <c r="I148" i="1"/>
  <c r="F150" i="2" s="1"/>
  <c r="S147" i="1"/>
  <c r="N147" i="1"/>
  <c r="J147" i="1"/>
  <c r="I147" i="1"/>
  <c r="K147" i="1" s="1"/>
  <c r="H149" i="2" s="1"/>
  <c r="S146" i="1"/>
  <c r="N146" i="1"/>
  <c r="G148" i="2" s="1"/>
  <c r="J146" i="1"/>
  <c r="I146" i="1"/>
  <c r="F148" i="2" s="1"/>
  <c r="S145" i="1"/>
  <c r="N145" i="1"/>
  <c r="G147" i="2" s="1"/>
  <c r="J145" i="1"/>
  <c r="I145" i="1"/>
  <c r="K145" i="1" s="1"/>
  <c r="H147" i="2" s="1"/>
  <c r="S144" i="1"/>
  <c r="N144" i="1"/>
  <c r="G146" i="2" s="1"/>
  <c r="J144" i="1"/>
  <c r="I144" i="1"/>
  <c r="F146" i="2" s="1"/>
  <c r="S143" i="1"/>
  <c r="N143" i="1"/>
  <c r="G145" i="2" s="1"/>
  <c r="J143" i="1"/>
  <c r="I143" i="1"/>
  <c r="K143" i="1" s="1"/>
  <c r="H145" i="2" s="1"/>
  <c r="S142" i="1"/>
  <c r="N142" i="1"/>
  <c r="G144" i="2" s="1"/>
  <c r="J142" i="1"/>
  <c r="I142" i="1"/>
  <c r="S141" i="1"/>
  <c r="N141" i="1"/>
  <c r="G143" i="2" s="1"/>
  <c r="J141" i="1"/>
  <c r="I141" i="1"/>
  <c r="F143" i="2" s="1"/>
  <c r="S140" i="1"/>
  <c r="N140" i="1"/>
  <c r="J140" i="1"/>
  <c r="I140" i="1"/>
  <c r="S139" i="1"/>
  <c r="N139" i="1"/>
  <c r="G141" i="2" s="1"/>
  <c r="J139" i="1"/>
  <c r="I139" i="1"/>
  <c r="K139" i="1" s="1"/>
  <c r="S138" i="1"/>
  <c r="N138" i="1"/>
  <c r="G140" i="2" s="1"/>
  <c r="J138" i="1"/>
  <c r="I138" i="1"/>
  <c r="K138" i="1" s="1"/>
  <c r="H140" i="2" s="1"/>
  <c r="S137" i="1"/>
  <c r="N137" i="1"/>
  <c r="G139" i="2" s="1"/>
  <c r="J137" i="1"/>
  <c r="I137" i="1"/>
  <c r="S136" i="1"/>
  <c r="N136" i="1"/>
  <c r="G138" i="2" s="1"/>
  <c r="J136" i="1"/>
  <c r="I136" i="1"/>
  <c r="K136" i="1" s="1"/>
  <c r="S135" i="1"/>
  <c r="N135" i="1"/>
  <c r="G137" i="2" s="1"/>
  <c r="D137" i="2"/>
  <c r="J135" i="1"/>
  <c r="I135" i="1"/>
  <c r="K135" i="1" s="1"/>
  <c r="S134" i="1"/>
  <c r="N134" i="1"/>
  <c r="G136" i="2" s="1"/>
  <c r="J134" i="1"/>
  <c r="I134" i="1"/>
  <c r="F136" i="2" s="1"/>
  <c r="S133" i="1"/>
  <c r="N133" i="1"/>
  <c r="J133" i="1"/>
  <c r="I133" i="1"/>
  <c r="S132" i="1"/>
  <c r="N132" i="1"/>
  <c r="G134" i="2" s="1"/>
  <c r="J132" i="1"/>
  <c r="I132" i="1"/>
  <c r="F134" i="2" s="1"/>
  <c r="S131" i="1"/>
  <c r="N131" i="1"/>
  <c r="G133" i="2" s="1"/>
  <c r="D133" i="2"/>
  <c r="J131" i="1"/>
  <c r="I131" i="1"/>
  <c r="S130" i="1"/>
  <c r="N130" i="1"/>
  <c r="G132" i="2" s="1"/>
  <c r="J130" i="1"/>
  <c r="I130" i="1"/>
  <c r="F132" i="2" s="1"/>
  <c r="S129" i="1"/>
  <c r="N129" i="1"/>
  <c r="G131" i="2" s="1"/>
  <c r="D131" i="2"/>
  <c r="J129" i="1"/>
  <c r="I129" i="1"/>
  <c r="F131" i="2" s="1"/>
  <c r="S128" i="1"/>
  <c r="N128" i="1"/>
  <c r="J128" i="1"/>
  <c r="I128" i="1"/>
  <c r="S127" i="1"/>
  <c r="N127" i="1"/>
  <c r="J127" i="1"/>
  <c r="I127" i="1"/>
  <c r="S126" i="1"/>
  <c r="N126" i="1"/>
  <c r="J126" i="1"/>
  <c r="I126" i="1"/>
  <c r="S125" i="1"/>
  <c r="N125" i="1"/>
  <c r="J125" i="1"/>
  <c r="I125" i="1"/>
  <c r="K125" i="1" s="1"/>
  <c r="H127" i="2" s="1"/>
  <c r="S124" i="1"/>
  <c r="N124" i="1"/>
  <c r="J124" i="1"/>
  <c r="I124" i="1"/>
  <c r="K124" i="1" s="1"/>
  <c r="H126" i="2" s="1"/>
  <c r="S123" i="1"/>
  <c r="N123" i="1"/>
  <c r="G125" i="2" s="1"/>
  <c r="J123" i="1"/>
  <c r="I123" i="1"/>
  <c r="K123" i="1" s="1"/>
  <c r="H125" i="2" s="1"/>
  <c r="S122" i="1"/>
  <c r="N122" i="1"/>
  <c r="J122" i="1"/>
  <c r="I122" i="1"/>
  <c r="S121" i="1"/>
  <c r="N121" i="1"/>
  <c r="G123" i="2" s="1"/>
  <c r="J121" i="1"/>
  <c r="I121" i="1"/>
  <c r="K121" i="1" s="1"/>
  <c r="H123" i="2" s="1"/>
  <c r="S120" i="1"/>
  <c r="N120" i="1"/>
  <c r="G122" i="2" s="1"/>
  <c r="J120" i="1"/>
  <c r="I120" i="1"/>
  <c r="S119" i="1"/>
  <c r="N119" i="1"/>
  <c r="G121" i="2" s="1"/>
  <c r="D121" i="2"/>
  <c r="J119" i="1"/>
  <c r="I119" i="1"/>
  <c r="K119" i="1" s="1"/>
  <c r="H121" i="2" s="1"/>
  <c r="S118" i="1"/>
  <c r="N118" i="1"/>
  <c r="G120" i="2" s="1"/>
  <c r="J118" i="1"/>
  <c r="I118" i="1"/>
  <c r="K118" i="1" s="1"/>
  <c r="S117" i="1"/>
  <c r="N117" i="1"/>
  <c r="G119" i="2" s="1"/>
  <c r="J117" i="1"/>
  <c r="I117" i="1"/>
  <c r="S116" i="1"/>
  <c r="N116" i="1"/>
  <c r="G118" i="2" s="1"/>
  <c r="J116" i="1"/>
  <c r="I116" i="1"/>
  <c r="K116" i="1" s="1"/>
  <c r="S115" i="1"/>
  <c r="N115" i="1"/>
  <c r="G117" i="2" s="1"/>
  <c r="D117" i="2"/>
  <c r="J115" i="1"/>
  <c r="I115" i="1"/>
  <c r="S114" i="1"/>
  <c r="N114" i="1"/>
  <c r="G116" i="2" s="1"/>
  <c r="J114" i="1"/>
  <c r="I114" i="1"/>
  <c r="S113" i="1"/>
  <c r="N113" i="1"/>
  <c r="G115" i="2" s="1"/>
  <c r="J113" i="1"/>
  <c r="I113" i="1"/>
  <c r="F115" i="2" s="1"/>
  <c r="S112" i="1"/>
  <c r="N112" i="1"/>
  <c r="G114" i="2" s="1"/>
  <c r="J112" i="1"/>
  <c r="I112" i="1"/>
  <c r="S111" i="1"/>
  <c r="N111" i="1"/>
  <c r="G113" i="2" s="1"/>
  <c r="D113" i="2"/>
  <c r="J111" i="1"/>
  <c r="I111" i="1"/>
  <c r="S110" i="1"/>
  <c r="N110" i="1"/>
  <c r="G112" i="2" s="1"/>
  <c r="J110" i="1"/>
  <c r="I110" i="1"/>
  <c r="S109" i="1"/>
  <c r="N109" i="1"/>
  <c r="G111" i="2" s="1"/>
  <c r="J109" i="1"/>
  <c r="I109" i="1"/>
  <c r="S108" i="1"/>
  <c r="N108" i="1"/>
  <c r="J108" i="1"/>
  <c r="I108" i="1"/>
  <c r="S107" i="1"/>
  <c r="N107" i="1"/>
  <c r="J107" i="1"/>
  <c r="I107" i="1"/>
  <c r="S106" i="1"/>
  <c r="N106" i="1"/>
  <c r="J106" i="1"/>
  <c r="I106" i="1"/>
  <c r="K106" i="1" s="1"/>
  <c r="H108" i="2" s="1"/>
  <c r="S105" i="1"/>
  <c r="N105" i="1"/>
  <c r="J105" i="1"/>
  <c r="I105" i="1"/>
  <c r="F107" i="2" s="1"/>
  <c r="S104" i="1"/>
  <c r="N104" i="1"/>
  <c r="G106" i="2" s="1"/>
  <c r="J104" i="1"/>
  <c r="I104" i="1"/>
  <c r="S103" i="1"/>
  <c r="N103" i="1"/>
  <c r="G105" i="2" s="1"/>
  <c r="J103" i="1"/>
  <c r="I103" i="1"/>
  <c r="S102" i="1"/>
  <c r="N102" i="1"/>
  <c r="D104" i="2"/>
  <c r="J102" i="1"/>
  <c r="I102" i="1"/>
  <c r="F104" i="2" s="1"/>
  <c r="S101" i="1"/>
  <c r="N101" i="1"/>
  <c r="G103" i="2" s="1"/>
  <c r="J101" i="1"/>
  <c r="I101" i="1"/>
  <c r="F103" i="2" s="1"/>
  <c r="S100" i="1"/>
  <c r="N100" i="1"/>
  <c r="G102" i="2" s="1"/>
  <c r="J100" i="1"/>
  <c r="I100" i="1"/>
  <c r="K100" i="1" s="1"/>
  <c r="S99" i="1"/>
  <c r="N99" i="1"/>
  <c r="G101" i="2" s="1"/>
  <c r="J99" i="1"/>
  <c r="I99" i="1"/>
  <c r="S98" i="1"/>
  <c r="N98" i="1"/>
  <c r="G100" i="2" s="1"/>
  <c r="J98" i="1"/>
  <c r="I98" i="1"/>
  <c r="S97" i="1"/>
  <c r="N97" i="1"/>
  <c r="G99" i="2" s="1"/>
  <c r="J97" i="1"/>
  <c r="I97" i="1"/>
  <c r="K97" i="1" s="1"/>
  <c r="S96" i="1"/>
  <c r="N96" i="1"/>
  <c r="J96" i="1"/>
  <c r="I96" i="1"/>
  <c r="K96" i="1" s="1"/>
  <c r="H98" i="2" s="1"/>
  <c r="S95" i="1"/>
  <c r="N95" i="1"/>
  <c r="J95" i="1"/>
  <c r="I95" i="1"/>
  <c r="F97" i="2" s="1"/>
  <c r="S94" i="1"/>
  <c r="N94" i="1"/>
  <c r="G96" i="2" s="1"/>
  <c r="J94" i="1"/>
  <c r="I94" i="1"/>
  <c r="F96" i="2" s="1"/>
  <c r="S93" i="1"/>
  <c r="N93" i="1"/>
  <c r="G95" i="2" s="1"/>
  <c r="D95" i="2"/>
  <c r="J93" i="1"/>
  <c r="I93" i="1"/>
  <c r="S92" i="1"/>
  <c r="N92" i="1"/>
  <c r="J92" i="1"/>
  <c r="I92" i="1"/>
  <c r="K92" i="1" s="1"/>
  <c r="S91" i="1"/>
  <c r="N91" i="1"/>
  <c r="G93" i="2" s="1"/>
  <c r="J91" i="1"/>
  <c r="I91" i="1"/>
  <c r="S90" i="1"/>
  <c r="N90" i="1"/>
  <c r="G92" i="2" s="1"/>
  <c r="J90" i="1"/>
  <c r="I90" i="1"/>
  <c r="K90" i="1" s="1"/>
  <c r="H92" i="2" s="1"/>
  <c r="S89" i="1"/>
  <c r="N89" i="1"/>
  <c r="G91" i="2" s="1"/>
  <c r="J89" i="1"/>
  <c r="I89" i="1"/>
  <c r="K89" i="1" s="1"/>
  <c r="S88" i="1"/>
  <c r="N88" i="1"/>
  <c r="J88" i="1"/>
  <c r="I88" i="1"/>
  <c r="S87" i="1"/>
  <c r="N87" i="1"/>
  <c r="J87" i="1"/>
  <c r="I87" i="1"/>
  <c r="S86" i="1"/>
  <c r="N86" i="1"/>
  <c r="G88" i="2" s="1"/>
  <c r="J86" i="1"/>
  <c r="I86" i="1"/>
  <c r="S85" i="1"/>
  <c r="N85" i="1"/>
  <c r="G87" i="2" s="1"/>
  <c r="J85" i="1"/>
  <c r="I85" i="1"/>
  <c r="K85" i="1" s="1"/>
  <c r="H87" i="2" s="1"/>
  <c r="S84" i="1"/>
  <c r="N84" i="1"/>
  <c r="G86" i="2" s="1"/>
  <c r="J84" i="1"/>
  <c r="I84" i="1"/>
  <c r="K84" i="1" s="1"/>
  <c r="H86" i="2" s="1"/>
  <c r="S83" i="1"/>
  <c r="N83" i="1"/>
  <c r="G85" i="2" s="1"/>
  <c r="J83" i="1"/>
  <c r="I83" i="1"/>
  <c r="F85" i="2" s="1"/>
  <c r="S82" i="1"/>
  <c r="N82" i="1"/>
  <c r="G84" i="2" s="1"/>
  <c r="D84" i="2"/>
  <c r="J82" i="1"/>
  <c r="I82" i="1"/>
  <c r="S81" i="1"/>
  <c r="N81" i="1"/>
  <c r="G83" i="2" s="1"/>
  <c r="J81" i="1"/>
  <c r="I81" i="1"/>
  <c r="F83" i="2" s="1"/>
  <c r="S80" i="1"/>
  <c r="N80" i="1"/>
  <c r="G82" i="2" s="1"/>
  <c r="J80" i="1"/>
  <c r="I80" i="1"/>
  <c r="K80" i="1" s="1"/>
  <c r="H82" i="2" s="1"/>
  <c r="S79" i="1"/>
  <c r="N79" i="1"/>
  <c r="G81" i="2" s="1"/>
  <c r="J79" i="1"/>
  <c r="I79" i="1"/>
  <c r="S78" i="1"/>
  <c r="N78" i="1"/>
  <c r="G80" i="2" s="1"/>
  <c r="J78" i="1"/>
  <c r="I78" i="1"/>
  <c r="F80" i="2" s="1"/>
  <c r="S77" i="1"/>
  <c r="N77" i="1"/>
  <c r="G79" i="2" s="1"/>
  <c r="J77" i="1"/>
  <c r="I77" i="1"/>
  <c r="S76" i="1"/>
  <c r="N76" i="1"/>
  <c r="G78" i="2" s="1"/>
  <c r="J76" i="1"/>
  <c r="I76" i="1"/>
  <c r="S75" i="1"/>
  <c r="N75" i="1"/>
  <c r="G77" i="2" s="1"/>
  <c r="D77" i="2"/>
  <c r="J75" i="1"/>
  <c r="I75" i="1"/>
  <c r="S74" i="1"/>
  <c r="N74" i="1"/>
  <c r="G76" i="2" s="1"/>
  <c r="D76" i="2"/>
  <c r="J74" i="1"/>
  <c r="I74" i="1"/>
  <c r="S73" i="1"/>
  <c r="N73" i="1"/>
  <c r="G75" i="2" s="1"/>
  <c r="J73" i="1"/>
  <c r="I73" i="1"/>
  <c r="S72" i="1"/>
  <c r="N72" i="1"/>
  <c r="G74" i="2" s="1"/>
  <c r="J72" i="1"/>
  <c r="I72" i="1"/>
  <c r="F74" i="2" s="1"/>
  <c r="S71" i="1"/>
  <c r="N71" i="1"/>
  <c r="G73" i="2" s="1"/>
  <c r="J71" i="1"/>
  <c r="I71" i="1"/>
  <c r="K71" i="1" s="1"/>
  <c r="S70" i="1"/>
  <c r="N70" i="1"/>
  <c r="J70" i="1"/>
  <c r="I70" i="1"/>
  <c r="F72" i="2" s="1"/>
  <c r="S69" i="1"/>
  <c r="N69" i="1"/>
  <c r="G71" i="2" s="1"/>
  <c r="J69" i="1"/>
  <c r="I69" i="1"/>
  <c r="F71" i="2" s="1"/>
  <c r="S68" i="1"/>
  <c r="N68" i="1"/>
  <c r="G70" i="2" s="1"/>
  <c r="J68" i="1"/>
  <c r="I68" i="1"/>
  <c r="S67" i="1"/>
  <c r="N67" i="1"/>
  <c r="J67" i="1"/>
  <c r="I67" i="1"/>
  <c r="K67" i="1" s="1"/>
  <c r="H69" i="2" s="1"/>
  <c r="S66" i="1"/>
  <c r="N66" i="1"/>
  <c r="G68" i="2" s="1"/>
  <c r="J66" i="1"/>
  <c r="I66" i="1"/>
  <c r="K66" i="1" s="1"/>
  <c r="H68" i="2" s="1"/>
  <c r="S65" i="1"/>
  <c r="N65" i="1"/>
  <c r="G67" i="2" s="1"/>
  <c r="J65" i="1"/>
  <c r="I65" i="1"/>
  <c r="F67" i="2" s="1"/>
  <c r="S64" i="1"/>
  <c r="N64" i="1"/>
  <c r="J64" i="1"/>
  <c r="I64" i="1"/>
  <c r="S63" i="1"/>
  <c r="N63" i="1"/>
  <c r="G65" i="2" s="1"/>
  <c r="J63" i="1"/>
  <c r="I63" i="1"/>
  <c r="S62" i="1"/>
  <c r="N62" i="1"/>
  <c r="G64" i="2" s="1"/>
  <c r="J62" i="1"/>
  <c r="I62" i="1"/>
  <c r="K62" i="1" s="1"/>
  <c r="H64" i="2" s="1"/>
  <c r="S61" i="1"/>
  <c r="N61" i="1"/>
  <c r="G63" i="2" s="1"/>
  <c r="J61" i="1"/>
  <c r="I61" i="1"/>
  <c r="F63" i="2" s="1"/>
  <c r="S60" i="1"/>
  <c r="N60" i="1"/>
  <c r="G62" i="2" s="1"/>
  <c r="J60" i="1"/>
  <c r="I60" i="1"/>
  <c r="S59" i="1"/>
  <c r="N59" i="1"/>
  <c r="G61" i="2" s="1"/>
  <c r="J59" i="1"/>
  <c r="I59" i="1"/>
  <c r="S58" i="1"/>
  <c r="N58" i="1"/>
  <c r="G60" i="2" s="1"/>
  <c r="J58" i="1"/>
  <c r="I58" i="1"/>
  <c r="K58" i="1" s="1"/>
  <c r="S57" i="1"/>
  <c r="N57" i="1"/>
  <c r="G59" i="2" s="1"/>
  <c r="D59" i="2"/>
  <c r="J57" i="1"/>
  <c r="I57" i="1"/>
  <c r="S56" i="1"/>
  <c r="N56" i="1"/>
  <c r="G58" i="2" s="1"/>
  <c r="D58" i="2"/>
  <c r="J56" i="1"/>
  <c r="I56" i="1"/>
  <c r="S55" i="1"/>
  <c r="N55" i="1"/>
  <c r="J55" i="1"/>
  <c r="I55" i="1"/>
  <c r="S54" i="1"/>
  <c r="N54" i="1"/>
  <c r="G56" i="2" s="1"/>
  <c r="D56" i="2"/>
  <c r="J54" i="1"/>
  <c r="I54" i="1"/>
  <c r="S53" i="1"/>
  <c r="N53" i="1"/>
  <c r="G55" i="2" s="1"/>
  <c r="J53" i="1"/>
  <c r="I53" i="1"/>
  <c r="F55" i="2" s="1"/>
  <c r="S52" i="1"/>
  <c r="N52" i="1"/>
  <c r="G54" i="2" s="1"/>
  <c r="J52" i="1"/>
  <c r="I52" i="1"/>
  <c r="S51" i="1"/>
  <c r="N51" i="1"/>
  <c r="G53" i="2" s="1"/>
  <c r="J51" i="1"/>
  <c r="I51" i="1"/>
  <c r="K51" i="1" s="1"/>
  <c r="S50" i="1"/>
  <c r="N50" i="1"/>
  <c r="G52" i="2" s="1"/>
  <c r="J50" i="1"/>
  <c r="I50" i="1"/>
  <c r="S49" i="1"/>
  <c r="N49" i="1"/>
  <c r="G51" i="2" s="1"/>
  <c r="J49" i="1"/>
  <c r="I49" i="1"/>
  <c r="F51" i="2" s="1"/>
  <c r="S48" i="1"/>
  <c r="N48" i="1"/>
  <c r="G50" i="2" s="1"/>
  <c r="J48" i="1"/>
  <c r="I48" i="1"/>
  <c r="K48" i="1" s="1"/>
  <c r="H50" i="2" s="1"/>
  <c r="S47" i="1"/>
  <c r="N47" i="1"/>
  <c r="G49" i="2" s="1"/>
  <c r="J47" i="1"/>
  <c r="I47" i="1"/>
  <c r="K47" i="1" s="1"/>
  <c r="S46" i="1"/>
  <c r="N46" i="1"/>
  <c r="G48" i="2" s="1"/>
  <c r="J46" i="1"/>
  <c r="I46" i="1"/>
  <c r="S45" i="1"/>
  <c r="N45" i="1"/>
  <c r="G47" i="2" s="1"/>
  <c r="J45" i="1"/>
  <c r="I45" i="1"/>
  <c r="S44" i="1"/>
  <c r="N44" i="1"/>
  <c r="G46" i="2" s="1"/>
  <c r="J44" i="1"/>
  <c r="I44" i="1"/>
  <c r="F46" i="2" s="1"/>
  <c r="S43" i="1"/>
  <c r="N43" i="1"/>
  <c r="G45" i="2" s="1"/>
  <c r="J43" i="1"/>
  <c r="I43" i="1"/>
  <c r="S42" i="1"/>
  <c r="N42" i="1"/>
  <c r="G44" i="2" s="1"/>
  <c r="J42" i="1"/>
  <c r="I42" i="1"/>
  <c r="K42" i="1" s="1"/>
  <c r="H44" i="2" s="1"/>
  <c r="S41" i="1"/>
  <c r="N41" i="1"/>
  <c r="G43" i="2" s="1"/>
  <c r="J41" i="1"/>
  <c r="I41" i="1"/>
  <c r="F43" i="2" s="1"/>
  <c r="S40" i="1"/>
  <c r="N40" i="1"/>
  <c r="G42" i="2" s="1"/>
  <c r="D42" i="2"/>
  <c r="J40" i="1"/>
  <c r="I40" i="1"/>
  <c r="F42" i="2" s="1"/>
  <c r="S39" i="1"/>
  <c r="N39" i="1"/>
  <c r="G41" i="2" s="1"/>
  <c r="D41" i="2"/>
  <c r="J39" i="1"/>
  <c r="I39" i="1"/>
  <c r="K39" i="1" s="1"/>
  <c r="H41" i="2" s="1"/>
  <c r="S38" i="1"/>
  <c r="N38" i="1"/>
  <c r="G40" i="2" s="1"/>
  <c r="J38" i="1"/>
  <c r="I38" i="1"/>
  <c r="S37" i="1"/>
  <c r="N37" i="1"/>
  <c r="G39" i="2" s="1"/>
  <c r="J37" i="1"/>
  <c r="I37" i="1"/>
  <c r="S36" i="1"/>
  <c r="N36" i="1"/>
  <c r="J36" i="1"/>
  <c r="I36" i="1"/>
  <c r="S35" i="1"/>
  <c r="N35" i="1"/>
  <c r="J35" i="1"/>
  <c r="I35" i="1"/>
  <c r="S34" i="1"/>
  <c r="N34" i="1"/>
  <c r="J34" i="1"/>
  <c r="I34" i="1"/>
  <c r="F36" i="2" s="1"/>
  <c r="S33" i="1"/>
  <c r="N33" i="1"/>
  <c r="J33" i="1"/>
  <c r="I33" i="1"/>
  <c r="K33" i="1" s="1"/>
  <c r="S32" i="1"/>
  <c r="N32" i="1"/>
  <c r="G34" i="2" s="1"/>
  <c r="J32" i="1"/>
  <c r="I32" i="1"/>
  <c r="S31" i="1"/>
  <c r="N31" i="1"/>
  <c r="G33" i="2" s="1"/>
  <c r="J31" i="1"/>
  <c r="I31" i="1"/>
  <c r="S30" i="1"/>
  <c r="N30" i="1"/>
  <c r="J30" i="1"/>
  <c r="I30" i="1"/>
  <c r="K30" i="1" s="1"/>
  <c r="H32" i="2" s="1"/>
  <c r="S29" i="1"/>
  <c r="N29" i="1"/>
  <c r="J29" i="1"/>
  <c r="I29" i="1"/>
  <c r="K29" i="1" s="1"/>
  <c r="H31" i="2" s="1"/>
  <c r="S28" i="1"/>
  <c r="N28" i="1"/>
  <c r="G30" i="2" s="1"/>
  <c r="J28" i="1"/>
  <c r="I28" i="1"/>
  <c r="K28" i="1" s="1"/>
  <c r="H30" i="2" s="1"/>
  <c r="S27" i="1"/>
  <c r="N27" i="1"/>
  <c r="G29" i="2" s="1"/>
  <c r="J27" i="1"/>
  <c r="I27" i="1"/>
  <c r="K27" i="1" s="1"/>
  <c r="H29" i="2" s="1"/>
  <c r="S26" i="1"/>
  <c r="N26" i="1"/>
  <c r="G28" i="2" s="1"/>
  <c r="J26" i="1"/>
  <c r="I26" i="1"/>
  <c r="K26" i="1" s="1"/>
  <c r="H28" i="2" s="1"/>
  <c r="S25" i="1"/>
  <c r="N25" i="1"/>
  <c r="G27" i="2" s="1"/>
  <c r="J25" i="1"/>
  <c r="I25" i="1"/>
  <c r="S24" i="1"/>
  <c r="N24" i="1"/>
  <c r="G26" i="2" s="1"/>
  <c r="J24" i="1"/>
  <c r="I24" i="1"/>
  <c r="S23" i="1"/>
  <c r="N23" i="1"/>
  <c r="G25" i="2" s="1"/>
  <c r="D25" i="2"/>
  <c r="J23" i="1"/>
  <c r="I23" i="1"/>
  <c r="K23" i="1" s="1"/>
  <c r="H25" i="2" s="1"/>
  <c r="S22" i="1"/>
  <c r="N22" i="1"/>
  <c r="G24" i="2" s="1"/>
  <c r="J22" i="1"/>
  <c r="I22" i="1"/>
  <c r="S21" i="1"/>
  <c r="N21" i="1"/>
  <c r="G23" i="2" s="1"/>
  <c r="D23" i="2"/>
  <c r="J21" i="1"/>
  <c r="I21" i="1"/>
  <c r="F23" i="2" s="1"/>
  <c r="S20" i="1"/>
  <c r="N20" i="1"/>
  <c r="G22" i="2" s="1"/>
  <c r="D22" i="2"/>
  <c r="J20" i="1"/>
  <c r="I20" i="1"/>
  <c r="S19" i="1"/>
  <c r="N19" i="1"/>
  <c r="G21" i="2" s="1"/>
  <c r="J19" i="1"/>
  <c r="I19" i="1"/>
  <c r="F21" i="2" s="1"/>
  <c r="S18" i="1"/>
  <c r="N18" i="1"/>
  <c r="G20" i="2" s="1"/>
  <c r="J18" i="1"/>
  <c r="I18" i="1"/>
  <c r="F20" i="2" s="1"/>
  <c r="S17" i="1"/>
  <c r="N17" i="1"/>
  <c r="J17" i="1"/>
  <c r="I17" i="1"/>
  <c r="S16" i="1"/>
  <c r="N16" i="1"/>
  <c r="G18" i="2" s="1"/>
  <c r="J16" i="1"/>
  <c r="I16" i="1"/>
  <c r="S15" i="1"/>
  <c r="N15" i="1"/>
  <c r="G17" i="2" s="1"/>
  <c r="J15" i="1"/>
  <c r="I15" i="1"/>
  <c r="F17" i="2" s="1"/>
  <c r="S14" i="1"/>
  <c r="N14" i="1"/>
  <c r="G16" i="2" s="1"/>
  <c r="J14" i="1"/>
  <c r="I14" i="1"/>
  <c r="F16" i="2" s="1"/>
  <c r="S13" i="1"/>
  <c r="N13" i="1"/>
  <c r="J13" i="1"/>
  <c r="I13" i="1"/>
  <c r="K13" i="1" s="1"/>
  <c r="H15" i="2" s="1"/>
  <c r="S12" i="1"/>
  <c r="N12" i="1"/>
  <c r="G14" i="2" s="1"/>
  <c r="J12" i="1"/>
  <c r="S11" i="1"/>
  <c r="N11" i="1"/>
  <c r="G13" i="2" s="1"/>
  <c r="D13" i="2"/>
  <c r="J11" i="1"/>
  <c r="I11" i="1"/>
  <c r="S10" i="1"/>
  <c r="N10" i="1"/>
  <c r="G12" i="2" s="1"/>
  <c r="D12" i="2"/>
  <c r="J10" i="1"/>
  <c r="I10" i="1"/>
  <c r="K10" i="1" s="1"/>
  <c r="H12" i="2" s="1"/>
  <c r="S9" i="1"/>
  <c r="N9" i="1"/>
  <c r="G11" i="2" s="1"/>
  <c r="J9" i="1"/>
  <c r="I9" i="1"/>
  <c r="K9" i="1" s="1"/>
  <c r="H11" i="2" s="1"/>
  <c r="S8" i="1"/>
  <c r="N8" i="1"/>
  <c r="G10" i="2" s="1"/>
  <c r="J8" i="1"/>
  <c r="I8" i="1"/>
  <c r="S7" i="1"/>
  <c r="N7" i="1"/>
  <c r="G9" i="2" s="1"/>
  <c r="D9" i="2"/>
  <c r="J7" i="1"/>
  <c r="I7" i="1"/>
  <c r="F9" i="2" s="1"/>
  <c r="S6" i="1"/>
  <c r="N6" i="1"/>
  <c r="G8" i="2" s="1"/>
  <c r="D8" i="2"/>
  <c r="J6" i="1"/>
  <c r="I6" i="1"/>
  <c r="K6" i="1" s="1"/>
  <c r="H8" i="2" s="1"/>
  <c r="S5" i="1"/>
  <c r="N5" i="1"/>
  <c r="G7" i="2" s="1"/>
  <c r="J5" i="1"/>
  <c r="I5" i="1"/>
  <c r="F7" i="2" s="1"/>
  <c r="S4" i="1"/>
  <c r="N4" i="1"/>
  <c r="G6" i="2" s="1"/>
  <c r="D6" i="2"/>
  <c r="J4" i="1"/>
  <c r="I4" i="1"/>
  <c r="S3" i="1"/>
  <c r="N3" i="1"/>
  <c r="G5" i="2" s="1"/>
  <c r="D5" i="2"/>
  <c r="J3" i="1"/>
  <c r="I3" i="1"/>
  <c r="S2" i="1"/>
  <c r="N2" i="1"/>
  <c r="G4" i="2" s="1"/>
  <c r="J2" i="1"/>
  <c r="I2" i="1"/>
  <c r="K2" i="1" s="1"/>
  <c r="H4" i="2" s="1"/>
  <c r="C15" i="4"/>
  <c r="G15" i="4"/>
  <c r="G4" i="4"/>
  <c r="A4" i="4"/>
  <c r="C4" i="4"/>
  <c r="E4" i="4" l="1"/>
  <c r="A15" i="4"/>
  <c r="E15" i="4"/>
  <c r="F14" i="2"/>
  <c r="K4" i="1"/>
  <c r="H6" i="2" s="1"/>
  <c r="F6" i="2"/>
  <c r="K98" i="1"/>
  <c r="H100" i="2" s="1"/>
  <c r="F100" i="2"/>
  <c r="F121" i="2"/>
  <c r="K36" i="1"/>
  <c r="H38" i="2" s="1"/>
  <c r="F38" i="2"/>
  <c r="K208" i="1"/>
  <c r="H210" i="2" s="1"/>
  <c r="F210" i="2"/>
  <c r="K212" i="1"/>
  <c r="H214" i="2" s="1"/>
  <c r="F214" i="2"/>
  <c r="K238" i="1"/>
  <c r="H240" i="2" s="1"/>
  <c r="F240" i="2"/>
  <c r="K259" i="1"/>
  <c r="H261" i="2" s="1"/>
  <c r="F261" i="2"/>
  <c r="K268" i="1"/>
  <c r="H270" i="2" s="1"/>
  <c r="F270" i="2"/>
  <c r="F29" i="2"/>
  <c r="K225" i="1"/>
  <c r="H227" i="2" s="1"/>
  <c r="F227" i="2"/>
  <c r="K234" i="1"/>
  <c r="H236" i="2" s="1"/>
  <c r="F236" i="2"/>
  <c r="K3" i="1"/>
  <c r="H5" i="2" s="1"/>
  <c r="F5" i="2"/>
  <c r="K32" i="1"/>
  <c r="H34" i="2" s="1"/>
  <c r="F34" i="2"/>
  <c r="K45" i="1"/>
  <c r="H47" i="2" s="1"/>
  <c r="F47" i="2"/>
  <c r="K140" i="1"/>
  <c r="H142" i="2" s="1"/>
  <c r="F142" i="2"/>
  <c r="K11" i="1"/>
  <c r="H13" i="2" s="1"/>
  <c r="F13" i="2"/>
  <c r="F219" i="2"/>
  <c r="F25" i="2"/>
  <c r="K20" i="1"/>
  <c r="H22" i="2" s="1"/>
  <c r="F22" i="2"/>
  <c r="K37" i="1"/>
  <c r="H39" i="2" s="1"/>
  <c r="F39" i="2"/>
  <c r="K343" i="1"/>
  <c r="H345" i="2" s="1"/>
  <c r="F345" i="2"/>
  <c r="K115" i="1"/>
  <c r="H117" i="2" s="1"/>
  <c r="F117" i="2"/>
  <c r="K128" i="1"/>
  <c r="H130" i="2" s="1"/>
  <c r="F130" i="2"/>
  <c r="K158" i="1"/>
  <c r="H160" i="2" s="1"/>
  <c r="F160" i="2"/>
  <c r="K16" i="1"/>
  <c r="H18" i="2" s="1"/>
  <c r="F18" i="2"/>
  <c r="K111" i="1"/>
  <c r="H113" i="2" s="1"/>
  <c r="F113" i="2"/>
  <c r="K8" i="1"/>
  <c r="H10" i="2" s="1"/>
  <c r="F10" i="2"/>
  <c r="K137" i="1"/>
  <c r="H139" i="2" s="1"/>
  <c r="F139" i="2"/>
  <c r="K300" i="1"/>
  <c r="H302" i="2" s="1"/>
  <c r="F302" i="2"/>
  <c r="K322" i="1"/>
  <c r="H324" i="2" s="1"/>
  <c r="F324" i="2"/>
  <c r="K357" i="1"/>
  <c r="H359" i="2" s="1"/>
  <c r="F359" i="2"/>
  <c r="F336" i="2"/>
  <c r="K133" i="1"/>
  <c r="H135" i="2" s="1"/>
  <c r="F135" i="2"/>
  <c r="K353" i="1"/>
  <c r="H355" i="2" s="1"/>
  <c r="F355" i="2"/>
  <c r="K64" i="1"/>
  <c r="H66" i="2" s="1"/>
  <c r="F66" i="2"/>
  <c r="K73" i="1"/>
  <c r="H75" i="2" s="1"/>
  <c r="F75" i="2"/>
  <c r="K77" i="1"/>
  <c r="H79" i="2" s="1"/>
  <c r="F79" i="2"/>
  <c r="K103" i="1"/>
  <c r="H105" i="2" s="1"/>
  <c r="F105" i="2"/>
  <c r="K283" i="1"/>
  <c r="H285" i="2" s="1"/>
  <c r="F285" i="2"/>
  <c r="K296" i="1"/>
  <c r="H298" i="2" s="1"/>
  <c r="F298" i="2"/>
  <c r="K305" i="1"/>
  <c r="H307" i="2" s="1"/>
  <c r="F307" i="2"/>
  <c r="K86" i="1"/>
  <c r="H88" i="2" s="1"/>
  <c r="F88" i="2"/>
  <c r="K99" i="1"/>
  <c r="H101" i="2" s="1"/>
  <c r="F101" i="2"/>
  <c r="K112" i="1"/>
  <c r="H114" i="2" s="1"/>
  <c r="F114" i="2"/>
  <c r="F244" i="2"/>
  <c r="K43" i="1"/>
  <c r="H45" i="2" s="1"/>
  <c r="F45" i="2"/>
  <c r="K56" i="1"/>
  <c r="H58" i="2" s="1"/>
  <c r="F58" i="2"/>
  <c r="K60" i="1"/>
  <c r="H62" i="2" s="1"/>
  <c r="F62" i="2"/>
  <c r="K82" i="1"/>
  <c r="H84" i="2" s="1"/>
  <c r="F84" i="2"/>
  <c r="K108" i="1"/>
  <c r="H110" i="2" s="1"/>
  <c r="F110" i="2"/>
  <c r="K203" i="1"/>
  <c r="H205" i="2" s="1"/>
  <c r="F205" i="2"/>
  <c r="K245" i="1"/>
  <c r="H247" i="2" s="1"/>
  <c r="F247" i="2"/>
  <c r="K262" i="1"/>
  <c r="H264" i="2" s="1"/>
  <c r="F264" i="2"/>
  <c r="K301" i="1"/>
  <c r="H303" i="2" s="1"/>
  <c r="F303" i="2"/>
  <c r="F243" i="2"/>
  <c r="F198" i="2"/>
  <c r="F50" i="2"/>
  <c r="K361" i="1"/>
  <c r="H363" i="2" s="1"/>
  <c r="F363" i="2"/>
  <c r="K52" i="1"/>
  <c r="H54" i="2" s="1"/>
  <c r="F54" i="2"/>
  <c r="K91" i="1"/>
  <c r="H93" i="2" s="1"/>
  <c r="F93" i="2"/>
  <c r="K207" i="1"/>
  <c r="H209" i="2" s="1"/>
  <c r="F209" i="2"/>
  <c r="K228" i="1"/>
  <c r="H230" i="2" s="1"/>
  <c r="F230" i="2"/>
  <c r="K237" i="1"/>
  <c r="H239" i="2" s="1"/>
  <c r="F239" i="2"/>
  <c r="F197" i="2"/>
  <c r="K319" i="1"/>
  <c r="H321" i="2" s="1"/>
  <c r="F321" i="2"/>
  <c r="K165" i="1"/>
  <c r="H167" i="2" s="1"/>
  <c r="F167" i="2"/>
  <c r="K224" i="1"/>
  <c r="H226" i="2" s="1"/>
  <c r="F226" i="2"/>
  <c r="F368" i="2"/>
  <c r="K74" i="1"/>
  <c r="H76" i="2" s="1"/>
  <c r="F76" i="2"/>
  <c r="K267" i="1"/>
  <c r="H269" i="2" s="1"/>
  <c r="F269" i="2"/>
  <c r="K31" i="1"/>
  <c r="H33" i="2" s="1"/>
  <c r="F33" i="2"/>
  <c r="K152" i="1"/>
  <c r="H154" i="2" s="1"/>
  <c r="F154" i="2"/>
  <c r="K263" i="1"/>
  <c r="H265" i="2" s="1"/>
  <c r="F265" i="2"/>
  <c r="K272" i="1"/>
  <c r="H274" i="2" s="1"/>
  <c r="F274" i="2"/>
  <c r="K289" i="1"/>
  <c r="H291" i="2" s="1"/>
  <c r="F291" i="2"/>
  <c r="F315" i="2"/>
  <c r="F92" i="2"/>
  <c r="K57" i="1"/>
  <c r="H59" i="2" s="1"/>
  <c r="F59" i="2"/>
  <c r="F30" i="2"/>
  <c r="K358" i="1"/>
  <c r="H360" i="2" s="1"/>
  <c r="F360" i="2"/>
  <c r="K75" i="1"/>
  <c r="H77" i="2" s="1"/>
  <c r="F77" i="2"/>
  <c r="K79" i="1"/>
  <c r="H81" i="2" s="1"/>
  <c r="F81" i="2"/>
  <c r="K109" i="1"/>
  <c r="H111" i="2" s="1"/>
  <c r="F111" i="2"/>
  <c r="K247" i="1"/>
  <c r="H249" i="2" s="1"/>
  <c r="F249" i="2"/>
  <c r="K324" i="1"/>
  <c r="H326" i="2" s="1"/>
  <c r="F326" i="2"/>
  <c r="K332" i="1"/>
  <c r="H334" i="2" s="1"/>
  <c r="F334" i="2"/>
  <c r="K341" i="1"/>
  <c r="H343" i="2" s="1"/>
  <c r="F343" i="2"/>
  <c r="F82" i="2"/>
  <c r="F11" i="2"/>
  <c r="K54" i="1"/>
  <c r="H56" i="2" s="1"/>
  <c r="F56" i="2"/>
  <c r="K150" i="1"/>
  <c r="H152" i="2" s="1"/>
  <c r="F152" i="2"/>
  <c r="K167" i="1"/>
  <c r="H169" i="2" s="1"/>
  <c r="F169" i="2"/>
  <c r="K171" i="1"/>
  <c r="H173" i="2" s="1"/>
  <c r="F173" i="2"/>
  <c r="K192" i="1"/>
  <c r="H194" i="2" s="1"/>
  <c r="F194" i="2"/>
  <c r="K230" i="1"/>
  <c r="H232" i="2" s="1"/>
  <c r="F232" i="2"/>
  <c r="K251" i="1"/>
  <c r="H253" i="2" s="1"/>
  <c r="F253" i="2"/>
  <c r="K50" i="1"/>
  <c r="H52" i="2" s="1"/>
  <c r="F52" i="2"/>
  <c r="K188" i="1"/>
  <c r="H190" i="2" s="1"/>
  <c r="F190" i="2"/>
  <c r="K226" i="1"/>
  <c r="H228" i="2" s="1"/>
  <c r="F228" i="2"/>
  <c r="F177" i="2"/>
  <c r="K46" i="1"/>
  <c r="H48" i="2" s="1"/>
  <c r="F48" i="2"/>
  <c r="K117" i="1"/>
  <c r="H119" i="2" s="1"/>
  <c r="F119" i="2"/>
  <c r="K218" i="1"/>
  <c r="H220" i="2" s="1"/>
  <c r="F220" i="2"/>
  <c r="K303" i="1"/>
  <c r="H305" i="2" s="1"/>
  <c r="F305" i="2"/>
  <c r="K346" i="1"/>
  <c r="H348" i="2" s="1"/>
  <c r="F348" i="2"/>
  <c r="F237" i="2"/>
  <c r="K193" i="1"/>
  <c r="H195" i="2" s="1"/>
  <c r="F195" i="2"/>
  <c r="F203" i="2"/>
  <c r="K55" i="1"/>
  <c r="H57" i="2" s="1"/>
  <c r="F57" i="2"/>
  <c r="K110" i="1"/>
  <c r="H112" i="2" s="1"/>
  <c r="F112" i="2"/>
  <c r="F140" i="2"/>
  <c r="F69" i="2"/>
  <c r="K22" i="1"/>
  <c r="H24" i="2" s="1"/>
  <c r="F24" i="2"/>
  <c r="K76" i="1"/>
  <c r="H78" i="2" s="1"/>
  <c r="F78" i="2"/>
  <c r="K189" i="1"/>
  <c r="H191" i="2" s="1"/>
  <c r="F191" i="2"/>
  <c r="K282" i="1"/>
  <c r="H284" i="2" s="1"/>
  <c r="F284" i="2"/>
  <c r="K364" i="1"/>
  <c r="H366" i="2" s="1"/>
  <c r="F366" i="2"/>
  <c r="F352" i="2"/>
  <c r="F319" i="2"/>
  <c r="F233" i="2"/>
  <c r="F68" i="2"/>
  <c r="F35" i="2"/>
  <c r="K304" i="1"/>
  <c r="H306" i="2" s="1"/>
  <c r="F306" i="2"/>
  <c r="K321" i="1"/>
  <c r="H323" i="2" s="1"/>
  <c r="F323" i="2"/>
  <c r="F318" i="2"/>
  <c r="F166" i="2"/>
  <c r="F102" i="2"/>
  <c r="K17" i="1"/>
  <c r="H19" i="2" s="1"/>
  <c r="F19" i="2"/>
  <c r="K38" i="1"/>
  <c r="H40" i="2" s="1"/>
  <c r="F40" i="2"/>
  <c r="K35" i="1"/>
  <c r="H37" i="2" s="1"/>
  <c r="F37" i="2"/>
  <c r="K68" i="1"/>
  <c r="H70" i="2" s="1"/>
  <c r="F70" i="2"/>
  <c r="K131" i="1"/>
  <c r="H133" i="2" s="1"/>
  <c r="F133" i="2"/>
  <c r="F317" i="2"/>
  <c r="F165" i="2"/>
  <c r="F32" i="2"/>
  <c r="F28" i="2"/>
  <c r="K93" i="1"/>
  <c r="H95" i="2" s="1"/>
  <c r="F95" i="2"/>
  <c r="K114" i="1"/>
  <c r="H116" i="2" s="1"/>
  <c r="F116" i="2"/>
  <c r="K122" i="1"/>
  <c r="H124" i="2" s="1"/>
  <c r="F124" i="2"/>
  <c r="K168" i="1"/>
  <c r="H170" i="2" s="1"/>
  <c r="F170" i="2"/>
  <c r="K342" i="1"/>
  <c r="H344" i="2" s="1"/>
  <c r="F344" i="2"/>
  <c r="F234" i="2"/>
  <c r="F215" i="2"/>
  <c r="F176" i="2"/>
  <c r="F138" i="2"/>
  <c r="F288" i="2"/>
  <c r="K169" i="1"/>
  <c r="H171" i="2" s="1"/>
  <c r="F325" i="2"/>
  <c r="F267" i="2"/>
  <c r="F172" i="2"/>
  <c r="K194" i="1"/>
  <c r="H196" i="2" s="1"/>
  <c r="F196" i="2"/>
  <c r="K356" i="1"/>
  <c r="H358" i="2" s="1"/>
  <c r="F358" i="2"/>
  <c r="F362" i="2"/>
  <c r="K104" i="1"/>
  <c r="H106" i="2" s="1"/>
  <c r="F106" i="2"/>
  <c r="F361" i="2"/>
  <c r="F342" i="2"/>
  <c r="F246" i="2"/>
  <c r="F208" i="2"/>
  <c r="F151" i="2"/>
  <c r="F94" i="2"/>
  <c r="F341" i="2"/>
  <c r="F283" i="2"/>
  <c r="F188" i="2"/>
  <c r="K278" i="1"/>
  <c r="H280" i="2" s="1"/>
  <c r="K65" i="1"/>
  <c r="H67" i="2" s="1"/>
  <c r="K83" i="1"/>
  <c r="H85" i="2" s="1"/>
  <c r="K101" i="1"/>
  <c r="H103" i="2" s="1"/>
  <c r="K144" i="1"/>
  <c r="H146" i="2" s="1"/>
  <c r="K151" i="1"/>
  <c r="H153" i="2" s="1"/>
  <c r="K187" i="1"/>
  <c r="H189" i="2" s="1"/>
  <c r="K205" i="1"/>
  <c r="H207" i="2" s="1"/>
  <c r="K223" i="1"/>
  <c r="H225" i="2" s="1"/>
  <c r="K248" i="1"/>
  <c r="H250" i="2" s="1"/>
  <c r="K266" i="1"/>
  <c r="H268" i="2" s="1"/>
  <c r="K284" i="1"/>
  <c r="H286" i="2" s="1"/>
  <c r="K302" i="1"/>
  <c r="H304" i="2" s="1"/>
  <c r="K88" i="1"/>
  <c r="H90" i="2" s="1"/>
  <c r="K190" i="1"/>
  <c r="H192" i="2" s="1"/>
  <c r="K19" i="1"/>
  <c r="H21" i="2" s="1"/>
  <c r="K44" i="1"/>
  <c r="H46" i="2" s="1"/>
  <c r="K69" i="1"/>
  <c r="H71" i="2" s="1"/>
  <c r="K87" i="1"/>
  <c r="H89" i="2" s="1"/>
  <c r="K105" i="1"/>
  <c r="H107" i="2" s="1"/>
  <c r="K130" i="1"/>
  <c r="H132" i="2" s="1"/>
  <c r="K173" i="1"/>
  <c r="H175" i="2" s="1"/>
  <c r="K191" i="1"/>
  <c r="H193" i="2" s="1"/>
  <c r="K209" i="1"/>
  <c r="H211" i="2" s="1"/>
  <c r="K227" i="1"/>
  <c r="H229" i="2" s="1"/>
  <c r="K252" i="1"/>
  <c r="H254" i="2" s="1"/>
  <c r="K270" i="1"/>
  <c r="H272" i="2" s="1"/>
  <c r="K349" i="1"/>
  <c r="H351" i="2" s="1"/>
  <c r="K367" i="1"/>
  <c r="H369" i="2" s="1"/>
  <c r="K53" i="1"/>
  <c r="H55" i="2" s="1"/>
  <c r="K233" i="1"/>
  <c r="H235" i="2" s="1"/>
  <c r="K275" i="1"/>
  <c r="H277" i="2" s="1"/>
  <c r="K328" i="1"/>
  <c r="H330" i="2" s="1"/>
  <c r="K61" i="1"/>
  <c r="H63" i="2" s="1"/>
  <c r="K107" i="1"/>
  <c r="H109" i="2" s="1"/>
  <c r="K5" i="1"/>
  <c r="H7" i="2" s="1"/>
  <c r="K185" i="1"/>
  <c r="H187" i="2" s="1"/>
  <c r="K347" i="1"/>
  <c r="H349" i="2" s="1"/>
  <c r="K41" i="1"/>
  <c r="H43" i="2" s="1"/>
  <c r="K161" i="1"/>
  <c r="H163" i="2" s="1"/>
  <c r="K355" i="1"/>
  <c r="H357" i="2" s="1"/>
  <c r="K25" i="1"/>
  <c r="H27" i="2" s="1"/>
  <c r="K113" i="1"/>
  <c r="H115" i="2" s="1"/>
  <c r="K166" i="1"/>
  <c r="H168" i="2" s="1"/>
  <c r="K184" i="1"/>
  <c r="H186" i="2" s="1"/>
  <c r="K94" i="1"/>
  <c r="H96" i="2" s="1"/>
  <c r="K298" i="1"/>
  <c r="H300" i="2" s="1"/>
  <c r="K274" i="1"/>
  <c r="H276" i="2" s="1"/>
  <c r="K21" i="1"/>
  <c r="H23" i="2" s="1"/>
  <c r="K49" i="1"/>
  <c r="H51" i="2" s="1"/>
  <c r="K63" i="1"/>
  <c r="H65" i="2" s="1"/>
  <c r="K70" i="1"/>
  <c r="H72" i="2" s="1"/>
  <c r="K95" i="1"/>
  <c r="H97" i="2" s="1"/>
  <c r="K102" i="1"/>
  <c r="H104" i="2" s="1"/>
  <c r="K141" i="1"/>
  <c r="H143" i="2" s="1"/>
  <c r="K162" i="1"/>
  <c r="H164" i="2" s="1"/>
  <c r="K183" i="1"/>
  <c r="H185" i="2" s="1"/>
  <c r="K222" i="1"/>
  <c r="H224" i="2" s="1"/>
  <c r="K229" i="1"/>
  <c r="H231" i="2" s="1"/>
  <c r="K250" i="1"/>
  <c r="H252" i="2" s="1"/>
  <c r="K257" i="1"/>
  <c r="H259" i="2" s="1"/>
  <c r="K292" i="1"/>
  <c r="H294" i="2" s="1"/>
  <c r="K299" i="1"/>
  <c r="H301" i="2" s="1"/>
  <c r="K306" i="1"/>
  <c r="H308" i="2" s="1"/>
  <c r="K320" i="1"/>
  <c r="H322" i="2" s="1"/>
  <c r="K345" i="1"/>
  <c r="H347" i="2" s="1"/>
  <c r="K352" i="1"/>
  <c r="H354" i="2" s="1"/>
  <c r="K310" i="1"/>
  <c r="H312" i="2" s="1"/>
  <c r="K142" i="1"/>
  <c r="H144" i="2" s="1"/>
  <c r="K293" i="1"/>
  <c r="H295" i="2" s="1"/>
  <c r="K40" i="1"/>
  <c r="H42" i="2" s="1"/>
  <c r="K146" i="1"/>
  <c r="H148" i="2" s="1"/>
  <c r="K220" i="1"/>
  <c r="H222" i="2" s="1"/>
  <c r="K34" i="1"/>
  <c r="H36" i="2" s="1"/>
  <c r="K59" i="1"/>
  <c r="H61" i="2" s="1"/>
  <c r="K7" i="1"/>
  <c r="H9" i="2" s="1"/>
  <c r="K14" i="1"/>
  <c r="H16" i="2" s="1"/>
  <c r="K81" i="1"/>
  <c r="H83" i="2" s="1"/>
  <c r="K127" i="1"/>
  <c r="H129" i="2" s="1"/>
  <c r="K134" i="1"/>
  <c r="H136" i="2" s="1"/>
  <c r="K155" i="1"/>
  <c r="H157" i="2" s="1"/>
  <c r="K176" i="1"/>
  <c r="H178" i="2" s="1"/>
  <c r="K197" i="1"/>
  <c r="H199" i="2" s="1"/>
  <c r="K215" i="1"/>
  <c r="H217" i="2" s="1"/>
  <c r="K243" i="1"/>
  <c r="H245" i="2" s="1"/>
  <c r="K264" i="1"/>
  <c r="H266" i="2" s="1"/>
  <c r="K271" i="1"/>
  <c r="H273" i="2" s="1"/>
  <c r="K285" i="1"/>
  <c r="H287" i="2" s="1"/>
  <c r="K338" i="1"/>
  <c r="H340" i="2" s="1"/>
  <c r="K363" i="1"/>
  <c r="H365" i="2" s="1"/>
  <c r="K15" i="1"/>
  <c r="H17" i="2" s="1"/>
  <c r="K120" i="1"/>
  <c r="H122" i="2" s="1"/>
  <c r="K246" i="1"/>
  <c r="H248" i="2" s="1"/>
  <c r="K279" i="1"/>
  <c r="H281" i="2" s="1"/>
  <c r="K24" i="1"/>
  <c r="H26" i="2" s="1"/>
  <c r="K78" i="1"/>
  <c r="H80" i="2" s="1"/>
  <c r="K132" i="1"/>
  <c r="H134" i="2" s="1"/>
  <c r="K200" i="1"/>
  <c r="H202" i="2" s="1"/>
  <c r="K330" i="1"/>
  <c r="H332" i="2" s="1"/>
  <c r="K129" i="1"/>
  <c r="H131" i="2" s="1"/>
  <c r="K177" i="1"/>
  <c r="H179" i="2" s="1"/>
  <c r="K249" i="1"/>
  <c r="H251" i="2" s="1"/>
  <c r="K288" i="1"/>
  <c r="H290" i="2" s="1"/>
  <c r="K327" i="1"/>
  <c r="H329" i="2" s="1"/>
  <c r="K18" i="1"/>
  <c r="H20" i="2" s="1"/>
  <c r="K72" i="1"/>
  <c r="H74" i="2" s="1"/>
  <c r="K126" i="1"/>
  <c r="H128" i="2" s="1"/>
  <c r="K308" i="1"/>
  <c r="H310" i="2" s="1"/>
  <c r="K204" i="1"/>
  <c r="H206" i="2" s="1"/>
  <c r="K258" i="1"/>
  <c r="H260" i="2" s="1"/>
  <c r="K312" i="1"/>
  <c r="H314" i="2" s="1"/>
  <c r="K365" i="1"/>
  <c r="H367" i="2" s="1"/>
  <c r="K362" i="1"/>
  <c r="H364" i="2" s="1"/>
</calcChain>
</file>

<file path=xl/sharedStrings.xml><?xml version="1.0" encoding="utf-8"?>
<sst xmlns="http://schemas.openxmlformats.org/spreadsheetml/2006/main" count="2747" uniqueCount="526">
  <si>
    <t>Call ID</t>
  </si>
  <si>
    <t>Direction</t>
  </si>
  <si>
    <t>CallKaro Number</t>
  </si>
  <si>
    <t>Sales Person Number</t>
  </si>
  <si>
    <t>Sales Person Name</t>
  </si>
  <si>
    <t>Cust Name</t>
  </si>
  <si>
    <t>Cust Number</t>
  </si>
  <si>
    <t>Status of Call</t>
  </si>
  <si>
    <t>Completed calls</t>
  </si>
  <si>
    <t>Total calls</t>
  </si>
  <si>
    <t>CONVERSION Rate</t>
  </si>
  <si>
    <t>Completed Incoming</t>
  </si>
  <si>
    <t>Date</t>
  </si>
  <si>
    <t>StartTime</t>
  </si>
  <si>
    <t>EndTime</t>
  </si>
  <si>
    <t>Duration of call (in Sec)</t>
  </si>
  <si>
    <t>MISSED-Failed-no answer</t>
  </si>
  <si>
    <t>Price for a call</t>
  </si>
  <si>
    <t>Sales Person Location</t>
  </si>
  <si>
    <t>Customer Location</t>
  </si>
  <si>
    <t>C105</t>
  </si>
  <si>
    <t>Incoming</t>
  </si>
  <si>
    <t>Sanjay Nair</t>
  </si>
  <si>
    <t>Pooja Shah</t>
  </si>
  <si>
    <t>call-attempt</t>
  </si>
  <si>
    <t>GJ</t>
  </si>
  <si>
    <t>KA</t>
  </si>
  <si>
    <t>C111</t>
  </si>
  <si>
    <t>Aditya Rao</t>
  </si>
  <si>
    <t>C112</t>
  </si>
  <si>
    <t>Akash Singh</t>
  </si>
  <si>
    <t>Ishita Gupta</t>
  </si>
  <si>
    <t>completed</t>
  </si>
  <si>
    <t>C115</t>
  </si>
  <si>
    <t>Priya Nair</t>
  </si>
  <si>
    <t>Rohan Das</t>
  </si>
  <si>
    <t>C117</t>
  </si>
  <si>
    <t>Anjali Menon</t>
  </si>
  <si>
    <t>Simran Kaur</t>
  </si>
  <si>
    <t>C125</t>
  </si>
  <si>
    <t>Shreya Iyer</t>
  </si>
  <si>
    <t>Priya Iyer</t>
  </si>
  <si>
    <t>RJ</t>
  </si>
  <si>
    <t>C126</t>
  </si>
  <si>
    <t>Meera Joshi</t>
  </si>
  <si>
    <t>Ananya Nair</t>
  </si>
  <si>
    <t>C127</t>
  </si>
  <si>
    <t>Karan Malhotra</t>
  </si>
  <si>
    <t>Sneha Reddy</t>
  </si>
  <si>
    <t>missed-call</t>
  </si>
  <si>
    <t>C128</t>
  </si>
  <si>
    <t>Rohan Mehta</t>
  </si>
  <si>
    <t>C129</t>
  </si>
  <si>
    <t>Siddharth Jain</t>
  </si>
  <si>
    <t>Arjun Kapoor</t>
  </si>
  <si>
    <t>C137</t>
  </si>
  <si>
    <t>Pallavi Naik</t>
  </si>
  <si>
    <t>C138</t>
  </si>
  <si>
    <t>Neha Gupta</t>
  </si>
  <si>
    <t>C14</t>
  </si>
  <si>
    <t>Varun Iyer</t>
  </si>
  <si>
    <t>Tanvi Kulkarni</t>
  </si>
  <si>
    <t>C140</t>
  </si>
  <si>
    <t>Nandini Das</t>
  </si>
  <si>
    <t>Aarav Sharma</t>
  </si>
  <si>
    <t>C141</t>
  </si>
  <si>
    <t>Sakshi Joshi</t>
  </si>
  <si>
    <t>C143</t>
  </si>
  <si>
    <t>Rahul Verma</t>
  </si>
  <si>
    <t>C144</t>
  </si>
  <si>
    <t>Riya Mehta</t>
  </si>
  <si>
    <t>Divya Sethi</t>
  </si>
  <si>
    <t>C148</t>
  </si>
  <si>
    <t>C149</t>
  </si>
  <si>
    <t>Vikram Patel</t>
  </si>
  <si>
    <t>Nandini Bose</t>
  </si>
  <si>
    <t>C15</t>
  </si>
  <si>
    <t>Ishita Kapoor</t>
  </si>
  <si>
    <t>C150</t>
  </si>
  <si>
    <t>C151</t>
  </si>
  <si>
    <t>Nisha Verma</t>
  </si>
  <si>
    <t>C152</t>
  </si>
  <si>
    <t>Gaurav Bansal</t>
  </si>
  <si>
    <t>C153</t>
  </si>
  <si>
    <t>Kavya Menon</t>
  </si>
  <si>
    <t>C154</t>
  </si>
  <si>
    <t>Ananya Sharma</t>
  </si>
  <si>
    <t>C155</t>
  </si>
  <si>
    <t>C156</t>
  </si>
  <si>
    <t>Deepak Yadav</t>
  </si>
  <si>
    <t>Neha Bhat</t>
  </si>
  <si>
    <t>C157</t>
  </si>
  <si>
    <t>C158</t>
  </si>
  <si>
    <t>Rohit Bedi</t>
  </si>
  <si>
    <t>C159</t>
  </si>
  <si>
    <t>Nikhil Jain</t>
  </si>
  <si>
    <t>C16</t>
  </si>
  <si>
    <t>Kriti Singh</t>
  </si>
  <si>
    <t>Varun Singh</t>
  </si>
  <si>
    <t>C160</t>
  </si>
  <si>
    <t>C161</t>
  </si>
  <si>
    <t>Harsh Patel</t>
  </si>
  <si>
    <t>Shreya Pillai</t>
  </si>
  <si>
    <t>C162</t>
  </si>
  <si>
    <t>Divya Rao</t>
  </si>
  <si>
    <t>C163</t>
  </si>
  <si>
    <t>Aditi Shah</t>
  </si>
  <si>
    <t>Amit Khanna</t>
  </si>
  <si>
    <t>C169</t>
  </si>
  <si>
    <t>TN</t>
  </si>
  <si>
    <t>C17</t>
  </si>
  <si>
    <t>C172</t>
  </si>
  <si>
    <t>C173</t>
  </si>
  <si>
    <t>C176</t>
  </si>
  <si>
    <t>Sanjay Oberoi</t>
  </si>
  <si>
    <t>C178</t>
  </si>
  <si>
    <t>C179</t>
  </si>
  <si>
    <t>Sakshi Desai</t>
  </si>
  <si>
    <t>C180</t>
  </si>
  <si>
    <t>C181</t>
  </si>
  <si>
    <t>C183</t>
  </si>
  <si>
    <t>Amit Kulkarni</t>
  </si>
  <si>
    <t>C184</t>
  </si>
  <si>
    <t>Rohit Das</t>
  </si>
  <si>
    <t>Abhishek Roy</t>
  </si>
  <si>
    <t>C186</t>
  </si>
  <si>
    <t>C189</t>
  </si>
  <si>
    <t>Nikhil Kapoor</t>
  </si>
  <si>
    <t>C19</t>
  </si>
  <si>
    <t>C193</t>
  </si>
  <si>
    <t>C194</t>
  </si>
  <si>
    <t>C195</t>
  </si>
  <si>
    <t>Aditi Ghosh</t>
  </si>
  <si>
    <t>C196</t>
  </si>
  <si>
    <t>C197</t>
  </si>
  <si>
    <t>Deepak Saxena</t>
  </si>
  <si>
    <t>C198</t>
  </si>
  <si>
    <t>Tanvi Reddy</t>
  </si>
  <si>
    <t>C199</t>
  </si>
  <si>
    <t>C20</t>
  </si>
  <si>
    <t>Manish Kumar</t>
  </si>
  <si>
    <t>C200</t>
  </si>
  <si>
    <t>AP</t>
  </si>
  <si>
    <t>C201</t>
  </si>
  <si>
    <t>C202</t>
  </si>
  <si>
    <t>Arjun Nair</t>
  </si>
  <si>
    <t>C203</t>
  </si>
  <si>
    <t>C204</t>
  </si>
  <si>
    <t>C205</t>
  </si>
  <si>
    <t>C206</t>
  </si>
  <si>
    <t>Nisha Shetty</t>
  </si>
  <si>
    <t>C207</t>
  </si>
  <si>
    <t>Kriti Dutta</t>
  </si>
  <si>
    <t>C208</t>
  </si>
  <si>
    <t>C209</t>
  </si>
  <si>
    <t>C21</t>
  </si>
  <si>
    <t>C210</t>
  </si>
  <si>
    <t>C211</t>
  </si>
  <si>
    <t>C212</t>
  </si>
  <si>
    <t>C213</t>
  </si>
  <si>
    <t>C215</t>
  </si>
  <si>
    <t>C216</t>
  </si>
  <si>
    <t>C219</t>
  </si>
  <si>
    <t>MP</t>
  </si>
  <si>
    <t>C223</t>
  </si>
  <si>
    <t>C224</t>
  </si>
  <si>
    <t>C228</t>
  </si>
  <si>
    <t>C235</t>
  </si>
  <si>
    <t>C243</t>
  </si>
  <si>
    <t>C244</t>
  </si>
  <si>
    <t>Vivek Gupta</t>
  </si>
  <si>
    <t>C246</t>
  </si>
  <si>
    <t>C25</t>
  </si>
  <si>
    <t>C250</t>
  </si>
  <si>
    <t>C252</t>
  </si>
  <si>
    <t>C253</t>
  </si>
  <si>
    <t>C254</t>
  </si>
  <si>
    <t>C255</t>
  </si>
  <si>
    <t>C258</t>
  </si>
  <si>
    <t>C259</t>
  </si>
  <si>
    <t>C26</t>
  </si>
  <si>
    <t>C260</t>
  </si>
  <si>
    <t>C261</t>
  </si>
  <si>
    <t>HR</t>
  </si>
  <si>
    <t>C262</t>
  </si>
  <si>
    <t>C263</t>
  </si>
  <si>
    <t>C264</t>
  </si>
  <si>
    <t>Pallavi Rao</t>
  </si>
  <si>
    <t>UE</t>
  </si>
  <si>
    <t>C265</t>
  </si>
  <si>
    <t>C266</t>
  </si>
  <si>
    <t>C267</t>
  </si>
  <si>
    <t>Vivek Chawla</t>
  </si>
  <si>
    <t>C268</t>
  </si>
  <si>
    <t>C269</t>
  </si>
  <si>
    <t>Gaurav Mishra</t>
  </si>
  <si>
    <t>C270</t>
  </si>
  <si>
    <t>Abhishek Jain</t>
  </si>
  <si>
    <t>C271</t>
  </si>
  <si>
    <t>WB</t>
  </si>
  <si>
    <t>C272</t>
  </si>
  <si>
    <t>C273</t>
  </si>
  <si>
    <t>C274</t>
  </si>
  <si>
    <t>Manish Arora</t>
  </si>
  <si>
    <t>C275</t>
  </si>
  <si>
    <t>C278</t>
  </si>
  <si>
    <t>MU</t>
  </si>
  <si>
    <t>C28</t>
  </si>
  <si>
    <t>C281</t>
  </si>
  <si>
    <t>C283</t>
  </si>
  <si>
    <t>C284</t>
  </si>
  <si>
    <t>C285</t>
  </si>
  <si>
    <t>Siddharth Mishra</t>
  </si>
  <si>
    <t>C293</t>
  </si>
  <si>
    <t>C294</t>
  </si>
  <si>
    <t>C295</t>
  </si>
  <si>
    <t>C298</t>
  </si>
  <si>
    <t>C30</t>
  </si>
  <si>
    <t>C301</t>
  </si>
  <si>
    <t>C305</t>
  </si>
  <si>
    <t>C31</t>
  </si>
  <si>
    <t>C318</t>
  </si>
  <si>
    <t>Seema Tabbasum</t>
  </si>
  <si>
    <t>N/A</t>
  </si>
  <si>
    <t>C321</t>
  </si>
  <si>
    <t>Hyderali Meer</t>
  </si>
  <si>
    <t>C322</t>
  </si>
  <si>
    <t>Abdul Usman Ali</t>
  </si>
  <si>
    <t>C323</t>
  </si>
  <si>
    <t>Vijnesh Jayanandan Poojary</t>
  </si>
  <si>
    <t>C324</t>
  </si>
  <si>
    <t>Martin Nerella</t>
  </si>
  <si>
    <t>C325</t>
  </si>
  <si>
    <t>Nirag K A</t>
  </si>
  <si>
    <t>C326</t>
  </si>
  <si>
    <t>C327</t>
  </si>
  <si>
    <t>C328</t>
  </si>
  <si>
    <t>C329</t>
  </si>
  <si>
    <t>C33</t>
  </si>
  <si>
    <t>C330</t>
  </si>
  <si>
    <t>Tannishtha Ajaykumar Patil</t>
  </si>
  <si>
    <t>C331</t>
  </si>
  <si>
    <t>C332</t>
  </si>
  <si>
    <t>Nagma Fathima</t>
  </si>
  <si>
    <t>C333</t>
  </si>
  <si>
    <t>C334</t>
  </si>
  <si>
    <t>ganesh sheshadri</t>
  </si>
  <si>
    <t>C335</t>
  </si>
  <si>
    <t>C336</t>
  </si>
  <si>
    <t>C337</t>
  </si>
  <si>
    <t>C338</t>
  </si>
  <si>
    <t>Rahul Kumar</t>
  </si>
  <si>
    <t>C339</t>
  </si>
  <si>
    <t>BR</t>
  </si>
  <si>
    <t>C340</t>
  </si>
  <si>
    <t>DL</t>
  </si>
  <si>
    <t>C341</t>
  </si>
  <si>
    <t>Siji Sam</t>
  </si>
  <si>
    <t>C342</t>
  </si>
  <si>
    <t>C344</t>
  </si>
  <si>
    <t>C345</t>
  </si>
  <si>
    <t>Nishanth D Shekar</t>
  </si>
  <si>
    <t>C346</t>
  </si>
  <si>
    <t>C348</t>
  </si>
  <si>
    <t>C349</t>
  </si>
  <si>
    <t>Anto Abhishek</t>
  </si>
  <si>
    <t>C35</t>
  </si>
  <si>
    <t>C351</t>
  </si>
  <si>
    <t>C352</t>
  </si>
  <si>
    <t>C353</t>
  </si>
  <si>
    <t>C354</t>
  </si>
  <si>
    <t>C355</t>
  </si>
  <si>
    <t>C357</t>
  </si>
  <si>
    <t>C358</t>
  </si>
  <si>
    <t>C359</t>
  </si>
  <si>
    <t>C360</t>
  </si>
  <si>
    <t>C361</t>
  </si>
  <si>
    <t>C362</t>
  </si>
  <si>
    <t>Gifty gowda</t>
  </si>
  <si>
    <t>C363</t>
  </si>
  <si>
    <t>C364</t>
  </si>
  <si>
    <t>C365</t>
  </si>
  <si>
    <t>C366</t>
  </si>
  <si>
    <t>Tejas Chiknaragund</t>
  </si>
  <si>
    <t>C367</t>
  </si>
  <si>
    <t>C368</t>
  </si>
  <si>
    <t>C369</t>
  </si>
  <si>
    <t>C37</t>
  </si>
  <si>
    <t>C370</t>
  </si>
  <si>
    <t>C371</t>
  </si>
  <si>
    <t>C372</t>
  </si>
  <si>
    <t>C373</t>
  </si>
  <si>
    <t>C374</t>
  </si>
  <si>
    <t>C375</t>
  </si>
  <si>
    <t>C376</t>
  </si>
  <si>
    <t>C377</t>
  </si>
  <si>
    <t>C378</t>
  </si>
  <si>
    <t>C379</t>
  </si>
  <si>
    <t>C39</t>
  </si>
  <si>
    <t>C40</t>
  </si>
  <si>
    <t>C41</t>
  </si>
  <si>
    <t>C45</t>
  </si>
  <si>
    <t>C47</t>
  </si>
  <si>
    <t>C49</t>
  </si>
  <si>
    <t>C52</t>
  </si>
  <si>
    <t>Harsh Vora</t>
  </si>
  <si>
    <t>C54</t>
  </si>
  <si>
    <t>C55</t>
  </si>
  <si>
    <t>C56</t>
  </si>
  <si>
    <t>C57</t>
  </si>
  <si>
    <t>C58</t>
  </si>
  <si>
    <t>C59</t>
  </si>
  <si>
    <t>C60</t>
  </si>
  <si>
    <t>C62</t>
  </si>
  <si>
    <t>C63</t>
  </si>
  <si>
    <t>Anjali Prasad</t>
  </si>
  <si>
    <t>C81</t>
  </si>
  <si>
    <t>C83</t>
  </si>
  <si>
    <t>C90</t>
  </si>
  <si>
    <t>C96</t>
  </si>
  <si>
    <t>C100</t>
  </si>
  <si>
    <t>Outgoing</t>
  </si>
  <si>
    <t>failed</t>
  </si>
  <si>
    <t>C101</t>
  </si>
  <si>
    <t>C102</t>
  </si>
  <si>
    <t>C103</t>
  </si>
  <si>
    <t>C104</t>
  </si>
  <si>
    <t>Akash Yadav</t>
  </si>
  <si>
    <t>C106</t>
  </si>
  <si>
    <t>C107</t>
  </si>
  <si>
    <t>C108</t>
  </si>
  <si>
    <t>C109</t>
  </si>
  <si>
    <t>no-answer</t>
  </si>
  <si>
    <t>C110</t>
  </si>
  <si>
    <t>C113</t>
  </si>
  <si>
    <t>MH</t>
  </si>
  <si>
    <t>C114</t>
  </si>
  <si>
    <t>C116</t>
  </si>
  <si>
    <t>C118</t>
  </si>
  <si>
    <t>C119</t>
  </si>
  <si>
    <t>C12</t>
  </si>
  <si>
    <t>busy</t>
  </si>
  <si>
    <t>C120</t>
  </si>
  <si>
    <t>C121</t>
  </si>
  <si>
    <t>C122</t>
  </si>
  <si>
    <t>C123</t>
  </si>
  <si>
    <t>C124</t>
  </si>
  <si>
    <t>C13</t>
  </si>
  <si>
    <t>C130</t>
  </si>
  <si>
    <t>C131</t>
  </si>
  <si>
    <t>C132</t>
  </si>
  <si>
    <t>C133</t>
  </si>
  <si>
    <t>C134</t>
  </si>
  <si>
    <t>C135</t>
  </si>
  <si>
    <t>C136</t>
  </si>
  <si>
    <t>C139</t>
  </si>
  <si>
    <t>C142</t>
  </si>
  <si>
    <t>C145</t>
  </si>
  <si>
    <t>C146</t>
  </si>
  <si>
    <t>C147</t>
  </si>
  <si>
    <t>C164</t>
  </si>
  <si>
    <t>C165</t>
  </si>
  <si>
    <t>C166</t>
  </si>
  <si>
    <t>C167</t>
  </si>
  <si>
    <t>C168</t>
  </si>
  <si>
    <t>C170</t>
  </si>
  <si>
    <t>C171</t>
  </si>
  <si>
    <t>C174</t>
  </si>
  <si>
    <t>C175</t>
  </si>
  <si>
    <t>C177</t>
  </si>
  <si>
    <t>C18</t>
  </si>
  <si>
    <t>C182</t>
  </si>
  <si>
    <t>C185</t>
  </si>
  <si>
    <t>C187</t>
  </si>
  <si>
    <t>C188</t>
  </si>
  <si>
    <t>C190</t>
  </si>
  <si>
    <t>C191</t>
  </si>
  <si>
    <t>C192</t>
  </si>
  <si>
    <t>C214</t>
  </si>
  <si>
    <t>C217</t>
  </si>
  <si>
    <t>C218</t>
  </si>
  <si>
    <t>AS</t>
  </si>
  <si>
    <t>C22</t>
  </si>
  <si>
    <t>C220</t>
  </si>
  <si>
    <t>C221</t>
  </si>
  <si>
    <t>PB</t>
  </si>
  <si>
    <t>C222</t>
  </si>
  <si>
    <t>C225</t>
  </si>
  <si>
    <t>C226</t>
  </si>
  <si>
    <t>C227</t>
  </si>
  <si>
    <t>C229</t>
  </si>
  <si>
    <t>C23</t>
  </si>
  <si>
    <t>C230</t>
  </si>
  <si>
    <t>C231</t>
  </si>
  <si>
    <t>C232</t>
  </si>
  <si>
    <t>C233</t>
  </si>
  <si>
    <t>OR</t>
  </si>
  <si>
    <t>C234</t>
  </si>
  <si>
    <t>C236</t>
  </si>
  <si>
    <t>C237</t>
  </si>
  <si>
    <t>C238</t>
  </si>
  <si>
    <t>C239</t>
  </si>
  <si>
    <t>C24</t>
  </si>
  <si>
    <t>C240</t>
  </si>
  <si>
    <t>C241</t>
  </si>
  <si>
    <t>C242</t>
  </si>
  <si>
    <t>C245</t>
  </si>
  <si>
    <t>C247</t>
  </si>
  <si>
    <t>C248</t>
  </si>
  <si>
    <t>C249</t>
  </si>
  <si>
    <t>C251</t>
  </si>
  <si>
    <t>C256</t>
  </si>
  <si>
    <t>C257</t>
  </si>
  <si>
    <t>C27</t>
  </si>
  <si>
    <t>C276</t>
  </si>
  <si>
    <t>C277</t>
  </si>
  <si>
    <t>C279</t>
  </si>
  <si>
    <t>C280</t>
  </si>
  <si>
    <t>C282</t>
  </si>
  <si>
    <t>C286</t>
  </si>
  <si>
    <t>C287</t>
  </si>
  <si>
    <t>C288</t>
  </si>
  <si>
    <t>C289</t>
  </si>
  <si>
    <t>C29</t>
  </si>
  <si>
    <t>C290</t>
  </si>
  <si>
    <t>C291</t>
  </si>
  <si>
    <t>C292</t>
  </si>
  <si>
    <t>C296</t>
  </si>
  <si>
    <t>HP</t>
  </si>
  <si>
    <t>C297</t>
  </si>
  <si>
    <t>C299</t>
  </si>
  <si>
    <t>C300</t>
  </si>
  <si>
    <t>C302</t>
  </si>
  <si>
    <t>C303</t>
  </si>
  <si>
    <t>C304</t>
  </si>
  <si>
    <t>C306</t>
  </si>
  <si>
    <t>C307</t>
  </si>
  <si>
    <t>C308</t>
  </si>
  <si>
    <t>UP</t>
  </si>
  <si>
    <t>C309</t>
  </si>
  <si>
    <t>C310</t>
  </si>
  <si>
    <t>C311</t>
  </si>
  <si>
    <t>C312</t>
  </si>
  <si>
    <t>C313</t>
  </si>
  <si>
    <t>C314</t>
  </si>
  <si>
    <t>C315</t>
  </si>
  <si>
    <t>C316</t>
  </si>
  <si>
    <t>C317</t>
  </si>
  <si>
    <t>C319</t>
  </si>
  <si>
    <t>C32</t>
  </si>
  <si>
    <t>C320</t>
  </si>
  <si>
    <t>C34</t>
  </si>
  <si>
    <t>C343</t>
  </si>
  <si>
    <t>C347</t>
  </si>
  <si>
    <t>C350</t>
  </si>
  <si>
    <t>C356</t>
  </si>
  <si>
    <t>C36</t>
  </si>
  <si>
    <t>C38</t>
  </si>
  <si>
    <t>C42</t>
  </si>
  <si>
    <t>C43</t>
  </si>
  <si>
    <t>C44</t>
  </si>
  <si>
    <t>C46</t>
  </si>
  <si>
    <t>C48</t>
  </si>
  <si>
    <t>C50</t>
  </si>
  <si>
    <t>C51</t>
  </si>
  <si>
    <t>C53</t>
  </si>
  <si>
    <t>C61</t>
  </si>
  <si>
    <t>C64</t>
  </si>
  <si>
    <t>C65</t>
  </si>
  <si>
    <t>C66</t>
  </si>
  <si>
    <t>C67</t>
  </si>
  <si>
    <t>C68</t>
  </si>
  <si>
    <t>C69</t>
  </si>
  <si>
    <t>C70</t>
  </si>
  <si>
    <t>C71</t>
  </si>
  <si>
    <t>C72</t>
  </si>
  <si>
    <t>C73</t>
  </si>
  <si>
    <t>C74</t>
  </si>
  <si>
    <t>C75</t>
  </si>
  <si>
    <t>C76</t>
  </si>
  <si>
    <t>C77</t>
  </si>
  <si>
    <t>C78</t>
  </si>
  <si>
    <t>C79</t>
  </si>
  <si>
    <t>C80</t>
  </si>
  <si>
    <t>C82</t>
  </si>
  <si>
    <t>C84</t>
  </si>
  <si>
    <t>C85</t>
  </si>
  <si>
    <t>C86</t>
  </si>
  <si>
    <t>C87</t>
  </si>
  <si>
    <t>C88</t>
  </si>
  <si>
    <t>C89</t>
  </si>
  <si>
    <t>C91</t>
  </si>
  <si>
    <t>C92</t>
  </si>
  <si>
    <t>C93</t>
  </si>
  <si>
    <t>C94</t>
  </si>
  <si>
    <t>C95</t>
  </si>
  <si>
    <t>C97</t>
  </si>
  <si>
    <t>C98</t>
  </si>
  <si>
    <t>C99</t>
  </si>
  <si>
    <t>Salesperson Performance Calculations</t>
  </si>
  <si>
    <t>Incoming Flag</t>
  </si>
  <si>
    <t>Outgoing Flag</t>
  </si>
  <si>
    <t>Completed Flag</t>
  </si>
  <si>
    <t>Conversion Rate</t>
  </si>
  <si>
    <t>Call Duration</t>
  </si>
  <si>
    <t>Price for a Call</t>
  </si>
  <si>
    <t>Row Labels</t>
  </si>
  <si>
    <t>Grand Total</t>
  </si>
  <si>
    <t>Sum of Total calls</t>
  </si>
  <si>
    <t>Sum of Incoming Flag</t>
  </si>
  <si>
    <t>Sum of Completed calls</t>
  </si>
  <si>
    <t>Sum of Completed Incoming</t>
  </si>
  <si>
    <t>Sum of CONVERSION Rate</t>
  </si>
  <si>
    <t>Sum of Price for a call</t>
  </si>
  <si>
    <t>Average of CONVERSION Rate</t>
  </si>
  <si>
    <t>Aug</t>
  </si>
  <si>
    <t>Salesperson Performance &amp; Call Analytics Dashboard</t>
  </si>
  <si>
    <t>Completion Rate</t>
  </si>
  <si>
    <t>Conversions</t>
  </si>
  <si>
    <t>Call Revenue</t>
  </si>
  <si>
    <t>Column1</t>
  </si>
  <si>
    <t>t</t>
  </si>
  <si>
    <t>Incoming Call</t>
  </si>
  <si>
    <t>Outgoing Call</t>
  </si>
  <si>
    <t>Completed Call</t>
  </si>
  <si>
    <t>Sum of Total calls2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</si>
</sst>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11"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1"/>
      <name val="Aptos Narrow"/>
    </font>
    <font>
      <sz val="11"/>
      <color theme="1"/>
      <name val="Aptos Narrow"/>
    </font>
    <font>
      <sz val="11"/>
      <color theme="1"/>
      <name val="Aptos Narrow"/>
      <scheme val="minor"/>
    </font>
    <font>
      <b/>
      <sz val="14"/>
      <color theme="1"/>
      <name val="Aptos Narrow"/>
      <family val="2"/>
      <scheme val="minor"/>
    </font>
    <font>
      <b/>
      <sz val="11"/>
      <color theme="1"/>
      <name val="Aptos Narrow"/>
      <family val="2"/>
    </font>
    <font>
      <b/>
      <sz val="20"/>
      <color theme="0"/>
      <name val="Aptos Narrow"/>
      <family val="2"/>
      <scheme val="minor"/>
    </font>
    <font>
      <sz val="11"/>
      <color theme="1"/>
      <name val="Aptos Narrow"/>
      <family val="2"/>
    </font>
    <font>
      <b/>
      <sz val="11"/>
      <color theme="1"/>
      <name val="Aptos Narrow"/>
      <family val="2"/>
      <scheme val="minor"/>
    </font>
  </fonts>
  <fills count="7">
    <fill>
      <patternFill patternType="none"/>
    </fill>
    <fill>
      <patternFill patternType="gray125"/>
    </fill>
    <fill>
      <patternFill patternType="solid">
        <fgColor rgb="FFFFC000"/>
        <bgColor indexed="64"/>
      </patternFill>
    </fill>
    <fill>
      <patternFill patternType="solid">
        <fgColor theme="7" tint="0.39997558519241921"/>
        <bgColor indexed="64"/>
      </patternFill>
    </fill>
    <fill>
      <patternFill patternType="solid">
        <fgColor rgb="FF002060"/>
        <bgColor indexed="64"/>
      </patternFill>
    </fill>
    <fill>
      <patternFill patternType="solid">
        <fgColor rgb="FF0070C0"/>
        <bgColor indexed="64"/>
      </patternFill>
    </fill>
    <fill>
      <patternFill patternType="solid">
        <fgColor theme="3" tint="9.9978637043366805E-2"/>
        <bgColor indexed="64"/>
      </patternFill>
    </fill>
  </fills>
  <borders count="5">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3" fillId="0" borderId="1" xfId="0" applyFont="1" applyBorder="1"/>
    <xf numFmtId="0" fontId="3" fillId="0" borderId="2" xfId="0" applyFont="1" applyBorder="1"/>
    <xf numFmtId="0" fontId="4" fillId="0" borderId="3" xfId="0" applyFont="1" applyBorder="1"/>
    <xf numFmtId="0" fontId="5" fillId="0" borderId="4" xfId="0" applyFont="1" applyBorder="1"/>
    <xf numFmtId="0" fontId="4" fillId="0" borderId="4" xfId="0" applyFont="1" applyBorder="1"/>
    <xf numFmtId="0" fontId="5" fillId="0" borderId="0" xfId="0" applyFont="1"/>
    <xf numFmtId="14" fontId="4" fillId="0" borderId="4" xfId="0" applyNumberFormat="1" applyFont="1" applyBorder="1"/>
    <xf numFmtId="22" fontId="4" fillId="0" borderId="4" xfId="0" applyNumberFormat="1" applyFont="1" applyBorder="1"/>
    <xf numFmtId="22" fontId="4" fillId="0" borderId="0" xfId="0" applyNumberFormat="1" applyFont="1"/>
    <xf numFmtId="0" fontId="4" fillId="0" borderId="0" xfId="0" applyFont="1"/>
    <xf numFmtId="0" fontId="6" fillId="2" borderId="0" xfId="0" applyFont="1" applyFill="1"/>
    <xf numFmtId="0" fontId="0" fillId="3" borderId="0" xfId="0" applyFill="1"/>
    <xf numFmtId="0" fontId="7" fillId="0" borderId="2" xfId="0" applyFont="1" applyBorder="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8" fillId="4" borderId="0" xfId="0" applyFont="1" applyFill="1" applyAlignment="1">
      <alignment horizontal="centerContinuous"/>
    </xf>
    <xf numFmtId="0" fontId="2" fillId="4" borderId="0" xfId="0" applyFont="1" applyFill="1" applyAlignment="1">
      <alignment horizontal="centerContinuous"/>
    </xf>
    <xf numFmtId="9" fontId="0" fillId="0" borderId="0" xfId="1" applyFont="1"/>
    <xf numFmtId="1" fontId="0" fillId="0" borderId="0" xfId="0" applyNumberFormat="1"/>
    <xf numFmtId="22" fontId="9" fillId="0" borderId="4" xfId="0" applyNumberFormat="1" applyFont="1" applyBorder="1"/>
    <xf numFmtId="0" fontId="0" fillId="0" borderId="4" xfId="0" applyBorder="1"/>
    <xf numFmtId="0" fontId="10" fillId="0" borderId="0" xfId="0" applyFont="1"/>
    <xf numFmtId="0" fontId="0" fillId="0" borderId="0" xfId="0"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164" fontId="2" fillId="6" borderId="0" xfId="1" applyNumberFormat="1" applyFont="1" applyFill="1" applyAlignment="1">
      <alignment horizontal="center"/>
    </xf>
    <xf numFmtId="0" fontId="0" fillId="0" borderId="0" xfId="0" applyNumberFormat="1"/>
  </cellXfs>
  <cellStyles count="2">
    <cellStyle name="Normal" xfId="0" builtinId="0"/>
    <cellStyle name="Percent" xfId="1" builtinId="5"/>
  </cellStyles>
  <dxfs count="27">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27" formatCode="dd/mm/yyyy\ hh:mm"/>
    </dxf>
    <dxf>
      <font>
        <b val="0"/>
        <i val="0"/>
        <strike val="0"/>
        <condense val="0"/>
        <extend val="0"/>
        <outline val="0"/>
        <shadow val="0"/>
        <u val="none"/>
        <vertAlign val="baseline"/>
        <sz val="11"/>
        <color theme="1"/>
        <name val="Aptos Narrow"/>
        <scheme val="none"/>
      </font>
      <numFmt numFmtId="27" formatCode="dd/mm/yyyy\ hh:mm"/>
    </dxf>
    <dxf>
      <font>
        <b val="0"/>
        <i val="0"/>
        <strike val="0"/>
        <condense val="0"/>
        <extend val="0"/>
        <outline val="0"/>
        <shadow val="0"/>
        <u val="none"/>
        <vertAlign val="baseline"/>
        <sz val="11"/>
        <color theme="1"/>
        <name val="Aptos Narrow"/>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minor"/>
      </font>
      <numFmt numFmtId="0" formatCode="Genera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border diagonalUp="0" diagonalDown="0">
        <left/>
        <right style="thin">
          <color rgb="FF000000"/>
        </right>
        <top style="thin">
          <color rgb="FF000000"/>
        </top>
        <bottom style="thin">
          <color rgb="FF000000"/>
        </bottom>
        <vertical/>
        <horizontal/>
      </border>
    </dxf>
    <dxf>
      <border outline="0">
        <left style="thin">
          <color rgb="FF000000"/>
        </left>
        <top style="thin">
          <color rgb="FF000000"/>
        </top>
      </border>
    </dxf>
    <dxf>
      <font>
        <b val="0"/>
        <i val="0"/>
        <strike val="0"/>
        <condense val="0"/>
        <extend val="0"/>
        <outline val="0"/>
        <shadow val="0"/>
        <u val="none"/>
        <vertAlign val="baseline"/>
        <sz val="11"/>
        <color theme="1"/>
        <name val="Aptos Narrow"/>
        <scheme val="minor"/>
      </font>
    </dxf>
    <dxf>
      <border outline="0">
        <bottom style="thin">
          <color rgb="FF000000"/>
        </bottom>
      </border>
    </dxf>
    <dxf>
      <font>
        <b/>
        <i val="0"/>
        <strike val="0"/>
        <condense val="0"/>
        <extend val="0"/>
        <outline val="0"/>
        <shadow val="0"/>
        <u val="none"/>
        <vertAlign val="baseline"/>
        <sz val="11"/>
        <color theme="1"/>
        <name val="Aptos Narrow"/>
        <scheme val="none"/>
      </font>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[Salesperson Performance &amp; Call Analytics Dashboard.xlsx]Pivot_Tables!Call_Direction_Analysis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Incoming and Outgoing</a:t>
            </a:r>
          </a:p>
          <a:p>
            <a:pPr>
              <a:defRPr/>
            </a:pPr>
            <a:r>
              <a:rPr lang="en-IN" b="1"/>
              <a:t> Calls</a:t>
            </a:r>
            <a:r>
              <a:rPr lang="en-IN"/>
              <a:t> </a:t>
            </a:r>
          </a:p>
          <a:p>
            <a:pPr>
              <a:defRPr/>
            </a:pPr>
            <a:endParaRPr lang="en-US"/>
          </a:p>
        </c:rich>
      </c:tx>
      <c:layout>
        <c:manualLayout>
          <c:xMode val="edge"/>
          <c:yMode val="edge"/>
          <c:x val="0.37969502213404405"/>
          <c:y val="7.33835993040096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Pivot_Tables!$J$3</c:f>
              <c:strCache>
                <c:ptCount val="1"/>
                <c:pt idx="0">
                  <c:v>Total</c:v>
                </c:pt>
              </c:strCache>
            </c:strRef>
          </c:tx>
          <c:spPr>
            <a:solidFill>
              <a:schemeClr val="accent1"/>
            </a:solidFill>
            <a:ln>
              <a:noFill/>
            </a:ln>
            <a:effectLst/>
          </c:spPr>
          <c:invertIfNegative val="0"/>
          <c:cat>
            <c:strRef>
              <c:f>Pivot_Tables!$J$4</c:f>
              <c:strCache>
                <c:ptCount val="1"/>
                <c:pt idx="0">
                  <c:v>Total</c:v>
                </c:pt>
              </c:strCache>
            </c:strRef>
          </c:cat>
          <c:val>
            <c:numRef>
              <c:f>Pivot_Tables!$J$4</c:f>
              <c:numCache>
                <c:formatCode>General</c:formatCode>
                <c:ptCount val="1"/>
                <c:pt idx="0">
                  <c:v>368</c:v>
                </c:pt>
              </c:numCache>
            </c:numRef>
          </c:val>
          <c:extLst>
            <c:ext xmlns:c16="http://schemas.microsoft.com/office/drawing/2014/chart" uri="{C3380CC4-5D6E-409C-BE32-E72D297353CC}">
              <c16:uniqueId val="{00000000-657A-4A6F-AA56-5F319AEF2B56}"/>
            </c:ext>
          </c:extLst>
        </c:ser>
        <c:dLbls>
          <c:showLegendKey val="0"/>
          <c:showVal val="0"/>
          <c:showCatName val="0"/>
          <c:showSerName val="0"/>
          <c:showPercent val="0"/>
          <c:showBubbleSize val="0"/>
        </c:dLbls>
        <c:gapWidth val="219"/>
        <c:overlap val="-27"/>
        <c:axId val="396589599"/>
        <c:axId val="560119567"/>
      </c:barChart>
      <c:catAx>
        <c:axId val="39658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119567"/>
        <c:crosses val="autoZero"/>
        <c:auto val="1"/>
        <c:lblAlgn val="ctr"/>
        <c:lblOffset val="100"/>
        <c:noMultiLvlLbl val="0"/>
      </c:catAx>
      <c:valAx>
        <c:axId val="56011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58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[Salesperson Performance &amp; Call Analytics Dashboard.xlsx]Pivot_Tables!Call_Status_Analysis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Call Status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Pivot_Tables!$K$15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E7-4815-B20B-F75C400B69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E7-4815-B20B-F75C400B69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E7-4815-B20B-F75C400B69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E7-4815-B20B-F75C400B69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E7-4815-B20B-F75C400B695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7E7-4815-B20B-F75C400B695E}"/>
              </c:ext>
            </c:extLst>
          </c:dPt>
          <c:cat>
            <c:strRef>
              <c:f>Pivot_Tables!$J$16:$J$22</c:f>
              <c:strCache>
                <c:ptCount val="6"/>
                <c:pt idx="0">
                  <c:v>busy</c:v>
                </c:pt>
                <c:pt idx="1">
                  <c:v>call-attempt</c:v>
                </c:pt>
                <c:pt idx="2">
                  <c:v>completed</c:v>
                </c:pt>
                <c:pt idx="3">
                  <c:v>failed</c:v>
                </c:pt>
                <c:pt idx="4">
                  <c:v>missed-call</c:v>
                </c:pt>
                <c:pt idx="5">
                  <c:v>no-answer</c:v>
                </c:pt>
              </c:strCache>
            </c:strRef>
          </c:cat>
          <c:val>
            <c:numRef>
              <c:f>Pivot_Tables!$K$16:$K$22</c:f>
              <c:numCache>
                <c:formatCode>General</c:formatCode>
                <c:ptCount val="6"/>
                <c:pt idx="0">
                  <c:v>1</c:v>
                </c:pt>
                <c:pt idx="1">
                  <c:v>64</c:v>
                </c:pt>
                <c:pt idx="2">
                  <c:v>175</c:v>
                </c:pt>
                <c:pt idx="3">
                  <c:v>51</c:v>
                </c:pt>
                <c:pt idx="4">
                  <c:v>35</c:v>
                </c:pt>
                <c:pt idx="5">
                  <c:v>42</c:v>
                </c:pt>
              </c:numCache>
            </c:numRef>
          </c:val>
          <c:extLst>
            <c:ext xmlns:c16="http://schemas.microsoft.com/office/drawing/2014/chart" uri="{C3380CC4-5D6E-409C-BE32-E72D297353CC}">
              <c16:uniqueId val="{0000000C-D7E7-4815-B20B-F75C400B69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[Salesperson Performance &amp; Call Analytics Dashboard.xlsx]Pivot_Tables!Monthly_Call_Trend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Call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Pivot_Tables!$K$30</c:f>
              <c:strCache>
                <c:ptCount val="1"/>
                <c:pt idx="0">
                  <c:v>Total</c:v>
                </c:pt>
              </c:strCache>
            </c:strRef>
          </c:tx>
          <c:spPr>
            <a:ln w="28575" cap="rnd">
              <a:solidFill>
                <a:schemeClr val="accent1"/>
              </a:solidFill>
              <a:round/>
            </a:ln>
            <a:effectLst/>
          </c:spPr>
          <c:marker>
            <c:symbol val="none"/>
          </c:marker>
          <c:cat>
            <c:strRef>
              <c:f>Pivot_Tables!$J$31:$J$32</c:f>
              <c:strCache>
                <c:ptCount val="1"/>
                <c:pt idx="0">
                  <c:v>Aug</c:v>
                </c:pt>
              </c:strCache>
            </c:strRef>
          </c:cat>
          <c:val>
            <c:numRef>
              <c:f>Pivot_Tables!$K$31:$K$32</c:f>
              <c:numCache>
                <c:formatCode>General</c:formatCode>
                <c:ptCount val="1"/>
                <c:pt idx="0">
                  <c:v>368</c:v>
                </c:pt>
              </c:numCache>
            </c:numRef>
          </c:val>
          <c:smooth val="0"/>
          <c:extLst>
            <c:ext xmlns:c16="http://schemas.microsoft.com/office/drawing/2014/chart" uri="{C3380CC4-5D6E-409C-BE32-E72D297353CC}">
              <c16:uniqueId val="{00000000-CFB4-4976-A5F0-7DB2900F1C0D}"/>
            </c:ext>
          </c:extLst>
        </c:ser>
        <c:dLbls>
          <c:showLegendKey val="0"/>
          <c:showVal val="0"/>
          <c:showCatName val="0"/>
          <c:showSerName val="0"/>
          <c:showPercent val="0"/>
          <c:showBubbleSize val="0"/>
        </c:dLbls>
        <c:smooth val="0"/>
        <c:axId val="396609551"/>
        <c:axId val="231855631"/>
      </c:lineChart>
      <c:catAx>
        <c:axId val="39660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855631"/>
        <c:crosses val="autoZero"/>
        <c:auto val="1"/>
        <c:lblAlgn val="ctr"/>
        <c:lblOffset val="100"/>
        <c:noMultiLvlLbl val="0"/>
      </c:catAx>
      <c:valAx>
        <c:axId val="23185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60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[Salesperson Performance &amp; Call Analytics Dashboard.xlsx]Pivot_Tables!Conversion_Rate_Analysis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Conversion Rate by Salesperson</a:t>
            </a:r>
          </a:p>
        </c:rich>
      </c:tx>
      <c:layout>
        <c:manualLayout>
          <c:xMode val="edge"/>
          <c:yMode val="edge"/>
          <c:x val="0.3713106003611879"/>
          <c:y val="0.109430875698249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Pivot_Tables!$K$40</c:f>
              <c:strCache>
                <c:ptCount val="1"/>
                <c:pt idx="0">
                  <c:v>Total</c:v>
                </c:pt>
              </c:strCache>
            </c:strRef>
          </c:tx>
          <c:spPr>
            <a:solidFill>
              <a:schemeClr val="accent1"/>
            </a:solidFill>
            <a:ln>
              <a:noFill/>
            </a:ln>
            <a:effectLst/>
          </c:spPr>
          <c:invertIfNegative val="0"/>
          <c:cat>
            <c:strRef>
              <c:f>Pivot_Tables!$J$41:$J$92</c:f>
              <c:strCache>
                <c:ptCount val="51"/>
                <c:pt idx="0">
                  <c:v>Aarav Sharma</c:v>
                </c:pt>
                <c:pt idx="1">
                  <c:v>Abdul Usman Ali</c:v>
                </c:pt>
                <c:pt idx="2">
                  <c:v>Abhishek Jain</c:v>
                </c:pt>
                <c:pt idx="3">
                  <c:v>Aditi Shah</c:v>
                </c:pt>
                <c:pt idx="4">
                  <c:v>Aditya Rao</c:v>
                </c:pt>
                <c:pt idx="5">
                  <c:v>Akash Singh</c:v>
                </c:pt>
                <c:pt idx="6">
                  <c:v>Amit Kulkarni</c:v>
                </c:pt>
                <c:pt idx="7">
                  <c:v>Ananya Sharma</c:v>
                </c:pt>
                <c:pt idx="8">
                  <c:v>Anjali Menon</c:v>
                </c:pt>
                <c:pt idx="9">
                  <c:v>Anto Abhishek</c:v>
                </c:pt>
                <c:pt idx="10">
                  <c:v>Arjun Nair</c:v>
                </c:pt>
                <c:pt idx="11">
                  <c:v>Deepak Yadav</c:v>
                </c:pt>
                <c:pt idx="12">
                  <c:v>Divya Rao</c:v>
                </c:pt>
                <c:pt idx="13">
                  <c:v>Gaurav Mishra</c:v>
                </c:pt>
                <c:pt idx="14">
                  <c:v>Harsh Patel</c:v>
                </c:pt>
                <c:pt idx="15">
                  <c:v>Hyderali Meer</c:v>
                </c:pt>
                <c:pt idx="16">
                  <c:v>Ishita Kapoor</c:v>
                </c:pt>
                <c:pt idx="17">
                  <c:v>Karan Malhotra</c:v>
                </c:pt>
                <c:pt idx="18">
                  <c:v>Kavya Menon</c:v>
                </c:pt>
                <c:pt idx="19">
                  <c:v>Kriti Singh</c:v>
                </c:pt>
                <c:pt idx="20">
                  <c:v>Manish Kumar</c:v>
                </c:pt>
                <c:pt idx="21">
                  <c:v>Martin Nerella</c:v>
                </c:pt>
                <c:pt idx="22">
                  <c:v>Meera Joshi</c:v>
                </c:pt>
                <c:pt idx="23">
                  <c:v>N/A</c:v>
                </c:pt>
                <c:pt idx="24">
                  <c:v>Nandini Das</c:v>
                </c:pt>
                <c:pt idx="25">
                  <c:v>Neha Gupta</c:v>
                </c:pt>
                <c:pt idx="26">
                  <c:v>Nikhil Kapoor</c:v>
                </c:pt>
                <c:pt idx="27">
                  <c:v>Nirag K A</c:v>
                </c:pt>
                <c:pt idx="28">
                  <c:v>Nisha Verma</c:v>
                </c:pt>
                <c:pt idx="29">
                  <c:v>Nishanth D Shekar</c:v>
                </c:pt>
                <c:pt idx="30">
                  <c:v>Pallavi Rao</c:v>
                </c:pt>
                <c:pt idx="31">
                  <c:v>Pooja Shah</c:v>
                </c:pt>
                <c:pt idx="32">
                  <c:v>Priya Nair</c:v>
                </c:pt>
                <c:pt idx="33">
                  <c:v>Rahul Kumar</c:v>
                </c:pt>
                <c:pt idx="34">
                  <c:v>Rahul Verma</c:v>
                </c:pt>
                <c:pt idx="35">
                  <c:v>Riya Mehta</c:v>
                </c:pt>
                <c:pt idx="36">
                  <c:v>Rohan Mehta</c:v>
                </c:pt>
                <c:pt idx="37">
                  <c:v>Rohit Das</c:v>
                </c:pt>
                <c:pt idx="38">
                  <c:v>Sakshi Joshi</c:v>
                </c:pt>
                <c:pt idx="39">
                  <c:v>Sanjay Nair</c:v>
                </c:pt>
                <c:pt idx="40">
                  <c:v>Seema Tabbasum</c:v>
                </c:pt>
                <c:pt idx="41">
                  <c:v>Shreya Iyer</c:v>
                </c:pt>
                <c:pt idx="42">
                  <c:v>Siddharth Jain</c:v>
                </c:pt>
                <c:pt idx="43">
                  <c:v>Siji Sam</c:v>
                </c:pt>
                <c:pt idx="44">
                  <c:v>Simran Kaur</c:v>
                </c:pt>
                <c:pt idx="45">
                  <c:v>Sneha Reddy</c:v>
                </c:pt>
                <c:pt idx="46">
                  <c:v>Tanvi Reddy</c:v>
                </c:pt>
                <c:pt idx="47">
                  <c:v>Tejas Chiknaragund</c:v>
                </c:pt>
                <c:pt idx="48">
                  <c:v>Varun Iyer</c:v>
                </c:pt>
                <c:pt idx="49">
                  <c:v>Vikram Patel</c:v>
                </c:pt>
                <c:pt idx="50">
                  <c:v>Vivek Gupta</c:v>
                </c:pt>
              </c:strCache>
            </c:strRef>
          </c:cat>
          <c:val>
            <c:numRef>
              <c:f>Pivot_Tables!$K$41:$K$92</c:f>
              <c:numCache>
                <c:formatCode>0.0%</c:formatCode>
                <c:ptCount val="51"/>
                <c:pt idx="0">
                  <c:v>0.375</c:v>
                </c:pt>
                <c:pt idx="1">
                  <c:v>0</c:v>
                </c:pt>
                <c:pt idx="2">
                  <c:v>0.42857142857142855</c:v>
                </c:pt>
                <c:pt idx="3">
                  <c:v>0.7142857142857143</c:v>
                </c:pt>
                <c:pt idx="4">
                  <c:v>0.625</c:v>
                </c:pt>
                <c:pt idx="5">
                  <c:v>0.5</c:v>
                </c:pt>
                <c:pt idx="6">
                  <c:v>0.625</c:v>
                </c:pt>
                <c:pt idx="7">
                  <c:v>0.5714285714285714</c:v>
                </c:pt>
                <c:pt idx="8">
                  <c:v>0.7142857142857143</c:v>
                </c:pt>
                <c:pt idx="9">
                  <c:v>1</c:v>
                </c:pt>
                <c:pt idx="10">
                  <c:v>0.42857142857142855</c:v>
                </c:pt>
                <c:pt idx="11">
                  <c:v>0.42857142857142855</c:v>
                </c:pt>
                <c:pt idx="12">
                  <c:v>0.5714285714285714</c:v>
                </c:pt>
                <c:pt idx="13">
                  <c:v>0.42857142857142855</c:v>
                </c:pt>
                <c:pt idx="14">
                  <c:v>0.7142857142857143</c:v>
                </c:pt>
                <c:pt idx="15">
                  <c:v>0.5</c:v>
                </c:pt>
                <c:pt idx="16">
                  <c:v>0.5</c:v>
                </c:pt>
                <c:pt idx="17">
                  <c:v>0.5714285714285714</c:v>
                </c:pt>
                <c:pt idx="18">
                  <c:v>0.42857142857142855</c:v>
                </c:pt>
                <c:pt idx="19">
                  <c:v>0.5</c:v>
                </c:pt>
                <c:pt idx="20">
                  <c:v>0.7142857142857143</c:v>
                </c:pt>
                <c:pt idx="21">
                  <c:v>0</c:v>
                </c:pt>
                <c:pt idx="22">
                  <c:v>0.375</c:v>
                </c:pt>
                <c:pt idx="23">
                  <c:v>0.36170212765957449</c:v>
                </c:pt>
                <c:pt idx="24">
                  <c:v>0.5</c:v>
                </c:pt>
                <c:pt idx="25">
                  <c:v>0.2857142857142857</c:v>
                </c:pt>
                <c:pt idx="26">
                  <c:v>0.75</c:v>
                </c:pt>
                <c:pt idx="27">
                  <c:v>0</c:v>
                </c:pt>
                <c:pt idx="28">
                  <c:v>0.625</c:v>
                </c:pt>
                <c:pt idx="29">
                  <c:v>1</c:v>
                </c:pt>
                <c:pt idx="30">
                  <c:v>0.5</c:v>
                </c:pt>
                <c:pt idx="31">
                  <c:v>0.375</c:v>
                </c:pt>
                <c:pt idx="32">
                  <c:v>0.42857142857142855</c:v>
                </c:pt>
                <c:pt idx="33">
                  <c:v>1</c:v>
                </c:pt>
                <c:pt idx="34">
                  <c:v>0.375</c:v>
                </c:pt>
                <c:pt idx="35">
                  <c:v>0.25</c:v>
                </c:pt>
                <c:pt idx="36">
                  <c:v>0.5</c:v>
                </c:pt>
                <c:pt idx="37">
                  <c:v>0.375</c:v>
                </c:pt>
                <c:pt idx="38">
                  <c:v>0.5714285714285714</c:v>
                </c:pt>
                <c:pt idx="39">
                  <c:v>0.5714285714285714</c:v>
                </c:pt>
                <c:pt idx="40">
                  <c:v>0.5</c:v>
                </c:pt>
                <c:pt idx="41">
                  <c:v>0.42857142857142855</c:v>
                </c:pt>
                <c:pt idx="42">
                  <c:v>0.25</c:v>
                </c:pt>
                <c:pt idx="43">
                  <c:v>0</c:v>
                </c:pt>
                <c:pt idx="44">
                  <c:v>0.5714285714285714</c:v>
                </c:pt>
                <c:pt idx="45">
                  <c:v>0.25</c:v>
                </c:pt>
                <c:pt idx="46">
                  <c:v>0.75</c:v>
                </c:pt>
                <c:pt idx="47">
                  <c:v>0</c:v>
                </c:pt>
                <c:pt idx="48">
                  <c:v>0.42857142857142855</c:v>
                </c:pt>
                <c:pt idx="49">
                  <c:v>0.375</c:v>
                </c:pt>
                <c:pt idx="50">
                  <c:v>0.5714285714285714</c:v>
                </c:pt>
              </c:numCache>
            </c:numRef>
          </c:val>
          <c:extLst>
            <c:ext xmlns:c16="http://schemas.microsoft.com/office/drawing/2014/chart" uri="{C3380CC4-5D6E-409C-BE32-E72D297353CC}">
              <c16:uniqueId val="{00000000-57EE-4D79-A621-A72BACA5AD7C}"/>
            </c:ext>
          </c:extLst>
        </c:ser>
        <c:dLbls>
          <c:showLegendKey val="0"/>
          <c:showVal val="0"/>
          <c:showCatName val="0"/>
          <c:showSerName val="0"/>
          <c:showPercent val="0"/>
          <c:showBubbleSize val="0"/>
        </c:dLbls>
        <c:gapWidth val="219"/>
        <c:overlap val="-27"/>
        <c:axId val="622835311"/>
        <c:axId val="231906511"/>
      </c:barChart>
      <c:catAx>
        <c:axId val="62283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06511"/>
        <c:crosses val="autoZero"/>
        <c:auto val="1"/>
        <c:lblAlgn val="ctr"/>
        <c:lblOffset val="100"/>
        <c:noMultiLvlLbl val="0"/>
      </c:catAx>
      <c:valAx>
        <c:axId val="2319065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3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103910</xdr:colOff>
      <xdr:row>16</xdr:row>
      <xdr:rowOff>103909</xdr:rowOff>
    </xdr:from>
    <xdr:to>
      <xdr:col>4</xdr:col>
      <xdr:colOff>1073728</xdr:colOff>
      <xdr:row>29</xdr:row>
      <xdr:rowOff>51954</xdr:rowOff>
    </xdr:to>
    <xdr:graphicFrame macro="">
      <xdr:nvGraphicFramePr>
        <xdr:cNvPr id="22" name="Incoming vs Outgoing Calls">
          <a:extLst>
            <a:ext uri="{FF2B5EF4-FFF2-40B4-BE49-F238E27FC236}">
              <a16:creationId xmlns:a16="http://schemas.microsoft.com/office/drawing/2014/main" id="{8B926FC3-9A2A-4B9D-9085-77AAAD3BA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502226</xdr:colOff>
      <xdr:row>16</xdr:row>
      <xdr:rowOff>11723</xdr:rowOff>
    </xdr:from>
    <xdr:to>
      <xdr:col>9</xdr:col>
      <xdr:colOff>1368137</xdr:colOff>
      <xdr:row>29</xdr:row>
      <xdr:rowOff>86591</xdr:rowOff>
    </xdr:to>
    <xdr:graphicFrame macro="">
      <xdr:nvGraphicFramePr>
        <xdr:cNvPr id="23" name="Call Status Distribution">
          <a:extLst>
            <a:ext uri="{FF2B5EF4-FFF2-40B4-BE49-F238E27FC236}">
              <a16:creationId xmlns:a16="http://schemas.microsoft.com/office/drawing/2014/main" id="{5F9C586D-0913-446B-8F21-948F0A295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86591</xdr:colOff>
      <xdr:row>30</xdr:row>
      <xdr:rowOff>138546</xdr:rowOff>
    </xdr:from>
    <xdr:to>
      <xdr:col>4</xdr:col>
      <xdr:colOff>1056409</xdr:colOff>
      <xdr:row>42</xdr:row>
      <xdr:rowOff>86591</xdr:rowOff>
    </xdr:to>
    <xdr:graphicFrame macro="">
      <xdr:nvGraphicFramePr>
        <xdr:cNvPr id="24" name="Monthly Call Volume Trend">
          <a:extLst>
            <a:ext uri="{FF2B5EF4-FFF2-40B4-BE49-F238E27FC236}">
              <a16:creationId xmlns:a16="http://schemas.microsoft.com/office/drawing/2014/main" id="{F8B4221A-B9DE-4809-899F-E09837A02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519544</xdr:colOff>
      <xdr:row>30</xdr:row>
      <xdr:rowOff>69273</xdr:rowOff>
    </xdr:from>
    <xdr:to>
      <xdr:col>9</xdr:col>
      <xdr:colOff>1368136</xdr:colOff>
      <xdr:row>42</xdr:row>
      <xdr:rowOff>103909</xdr:rowOff>
    </xdr:to>
    <xdr:graphicFrame macro="">
      <xdr:nvGraphicFramePr>
        <xdr:cNvPr id="25" name="Conversion Rate by Salesperson">
          <a:extLst>
            <a:ext uri="{FF2B5EF4-FFF2-40B4-BE49-F238E27FC236}">
              <a16:creationId xmlns:a16="http://schemas.microsoft.com/office/drawing/2014/main" id="{02EA0025-1D4F-44EB-9686-B8C374963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1125682</xdr:colOff>
      <xdr:row>2</xdr:row>
      <xdr:rowOff>11723</xdr:rowOff>
    </xdr:from>
    <xdr:to>
      <xdr:col>9</xdr:col>
      <xdr:colOff>1385454</xdr:colOff>
      <xdr:row>14</xdr:row>
      <xdr:rowOff>198393</xdr:rowOff>
    </xdr:to>
    <mc:AlternateContent xmlns:mc="http://schemas.openxmlformats.org/markup-compatibility/2006" xmlns:a14="http://schemas.microsoft.com/office/drawing/2010/main">
      <mc:Choice Requires="a14">
        <xdr:graphicFrame macro="">
          <xdr:nvGraphicFramePr>
            <xdr:cNvPr id="26" name="Sales Person Name">
              <a:extLst>
                <a:ext uri="{FF2B5EF4-FFF2-40B4-BE49-F238E27FC236}">
                  <a16:creationId xmlns:a16="http://schemas.microsoft.com/office/drawing/2014/main" id="{6238F525-EB6C-447E-AC1D-75F62C3B104F}"/>
                </a:ext>
              </a:extLst>
            </xdr:cNvPr>
            <xdr:cNvGraphicFramePr/>
          </xdr:nvGraphicFramePr>
          <xdr:xfrm>
            <a:off x="0" y="0"/>
            <a:ext cx="0" cy="0"/>
          </xdr:xfrm>
          <a:graphic>
            <a:graphicData uri="http://schemas.microsoft.com/office/drawing/2010/slicer">
              <sle:slicer xmlns:sle="http://schemas.microsoft.com/office/drawing/2010/slicer" name="Sales Person Name"/>
            </a:graphicData>
          </a:graphic>
        </xdr:graphicFrame>
      </mc:Choice>
      <mc:Fallback xmlns="">
        <xdr:sp macro="" textlink="">
          <xdr:nvSpPr>
            <xdr:cNvPr id="0" name=""/>
            <xdr:cNvSpPr>
              <a:spLocks noTextEdit="1"/>
            </xdr:cNvSpPr>
          </xdr:nvSpPr>
          <xdr:spPr>
            <a:xfrm>
              <a:off x="11097943" y="525245"/>
              <a:ext cx="3108989" cy="3102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1418491</xdr:colOff>
      <xdr:row>4</xdr:row>
      <xdr:rowOff>234461</xdr:rowOff>
    </xdr:from>
    <xdr:to>
      <xdr:col>3</xdr:col>
      <xdr:colOff>35169</xdr:colOff>
      <xdr:row>11</xdr:row>
      <xdr:rowOff>23446</xdr:rowOff>
    </xdr:to>
    <mc:AlternateContent xmlns:mc="http://schemas.openxmlformats.org/markup-compatibility/2006" xmlns:a14="http://schemas.microsoft.com/office/drawing/2010/main">
      <mc:Choice Requires="a14">
        <xdr:graphicFrame macro="">
          <xdr:nvGraphicFramePr>
            <xdr:cNvPr id="27" name="Direction">
              <a:extLst>
                <a:ext uri="{FF2B5EF4-FFF2-40B4-BE49-F238E27FC236}">
                  <a16:creationId xmlns:a16="http://schemas.microsoft.com/office/drawing/2014/main" id="{D8CF4C50-3DDF-44FE-9246-E3538A1E4EDA}"/>
                </a:ext>
              </a:extLst>
            </xdr:cNvPr>
            <xdr:cNvGraphicFramePr/>
          </xdr:nvGraphicFramePr>
          <xdr:xfrm>
            <a:off x="0" y="0"/>
            <a:ext cx="0" cy="0"/>
          </xdr:xfrm>
          <a:graphic>
            <a:graphicData uri="http://schemas.microsoft.com/office/drawing/2010/slicer">
              <sle:slicer xmlns:sle="http://schemas.microsoft.com/office/drawing/2010/slicer" name="Direction"/>
            </a:graphicData>
          </a:graphic>
        </xdr:graphicFrame>
      </mc:Choice>
      <mc:Fallback xmlns="">
        <xdr:sp macro="" textlink="">
          <xdr:nvSpPr>
            <xdr:cNvPr id="0" name=""/>
            <xdr:cNvSpPr>
              <a:spLocks noTextEdit="1"/>
            </xdr:cNvSpPr>
          </xdr:nvSpPr>
          <xdr:spPr>
            <a:xfrm>
              <a:off x="1418491" y="1244939"/>
              <a:ext cx="2890504" cy="1528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8790</xdr:colOff>
      <xdr:row>5</xdr:row>
      <xdr:rowOff>9672</xdr:rowOff>
    </xdr:from>
    <xdr:to>
      <xdr:col>6</xdr:col>
      <xdr:colOff>23445</xdr:colOff>
      <xdr:row>11</xdr:row>
      <xdr:rowOff>0</xdr:rowOff>
    </xdr:to>
    <mc:AlternateContent xmlns:mc="http://schemas.openxmlformats.org/markup-compatibility/2006" xmlns:tsle="http://schemas.microsoft.com/office/drawing/2012/timeslicer">
      <mc:Choice Requires="tsle">
        <xdr:graphicFrame macro="">
          <xdr:nvGraphicFramePr>
            <xdr:cNvPr id="28" name="Date">
              <a:extLst>
                <a:ext uri="{FF2B5EF4-FFF2-40B4-BE49-F238E27FC236}">
                  <a16:creationId xmlns:a16="http://schemas.microsoft.com/office/drawing/2014/main" id="{141D49FE-5E7A-4CF9-8FB2-E653149D4EE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707225" y="1268629"/>
              <a:ext cx="2863872" cy="14811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LAK BADAMI" refreshedDate="46260.406751041664" createdVersion="8" refreshedVersion="8" minRefreshableVersion="3" recordCount="368" xr:uid="{6FDA94F7-F07B-4A65-8EED-C8C6F776627E}">
  <cacheSource type="worksheet">
    <worksheetSource name="SalesData"/>
  </cacheSource>
  <cacheFields count="24">
    <cacheField name="Call ID" numFmtId="0">
      <sharedItems/>
    </cacheField>
    <cacheField name="Direction" numFmtId="0">
      <sharedItems count="2">
        <s v="Incoming"/>
        <s v="Outgoing"/>
      </sharedItems>
    </cacheField>
    <cacheField name="CallKaro Number" numFmtId="0">
      <sharedItems containsSemiMixedTypes="0" containsString="0" containsNumber="1" containsInteger="1" minValue="8099389567" maxValue="8099389567"/>
    </cacheField>
    <cacheField name="Sales Person Number" numFmtId="0">
      <sharedItems containsSemiMixedTypes="0" containsString="0" containsNumber="1" containsInteger="1" minValue="3632601" maxValue="999414284"/>
    </cacheField>
    <cacheField name="Sales Person Name" numFmtId="0">
      <sharedItems count="51">
        <s v="Sanjay Nair"/>
        <s v="Pooja Shah"/>
        <s v="Akash Singh"/>
        <s v="Priya Nair"/>
        <s v="Anjali Menon"/>
        <s v="Shreya Iyer"/>
        <s v="Meera Joshi"/>
        <s v="Karan Malhotra"/>
        <s v="Rohan Mehta"/>
        <s v="Siddharth Jain"/>
        <s v="Neha Gupta"/>
        <s v="Varun Iyer"/>
        <s v="Nandini Das"/>
        <s v="Sakshi Joshi"/>
        <s v="Rahul Verma"/>
        <s v="Riya Mehta"/>
        <s v="Vikram Patel"/>
        <s v="Ishita Kapoor"/>
        <s v="Nisha Verma"/>
        <s v="Ananya Sharma"/>
        <s v="Deepak Yadav"/>
        <s v="Aarav Sharma"/>
        <s v="Kriti Singh"/>
        <s v="Harsh Patel"/>
        <s v="Divya Rao"/>
        <s v="Aditi Shah"/>
        <s v="Sneha Reddy"/>
        <s v="Amit Kulkarni"/>
        <s v="Rohit Das"/>
        <s v="Nikhil Kapoor"/>
        <s v="Tanvi Reddy"/>
        <s v="Manish Kumar"/>
        <s v="Arjun Nair"/>
        <s v="Aditya Rao"/>
        <s v="Kavya Menon"/>
        <s v="Vivek Gupta"/>
        <s v="Simran Kaur"/>
        <s v="Pallavi Rao"/>
        <s v="Gaurav Mishra"/>
        <s v="Abhishek Jain"/>
        <s v="Seema Tabbasum"/>
        <s v="Abdul Usman Ali"/>
        <s v="N/A"/>
        <s v="Martin Nerella"/>
        <s v="Siji Sam"/>
        <s v="Nishanth D Shekar"/>
        <s v="Tejas Chiknaragund"/>
        <s v="Hyderali Meer"/>
        <s v="Nirag K A"/>
        <s v="Rahul Kumar"/>
        <s v="Anto Abhishek"/>
      </sharedItems>
    </cacheField>
    <cacheField name="Cust Name" numFmtId="0">
      <sharedItems/>
    </cacheField>
    <cacheField name="Cust Number" numFmtId="0">
      <sharedItems containsString="0" containsBlank="1" containsNumber="1" containsInteger="1" minValue="1000000001" maxValue="1000000040"/>
    </cacheField>
    <cacheField name="Status of Call" numFmtId="0">
      <sharedItems count="6">
        <s v="call-attempt"/>
        <s v="completed"/>
        <s v="missed-call"/>
        <s v="failed"/>
        <s v="no-answer"/>
        <s v="busy"/>
      </sharedItems>
    </cacheField>
    <cacheField name="Completed calls" numFmtId="0">
      <sharedItems containsSemiMixedTypes="0" containsString="0" containsNumber="1" containsInteger="1" minValue="0" maxValue="1"/>
    </cacheField>
    <cacheField name="Total calls" numFmtId="0">
      <sharedItems containsSemiMixedTypes="0" containsString="0" containsNumber="1" containsInteger="1" minValue="1" maxValue="1" count="1">
        <n v="1"/>
      </sharedItems>
    </cacheField>
    <cacheField name="CONVERSION Rate" numFmtId="0">
      <sharedItems containsSemiMixedTypes="0" containsString="0" containsNumber="1" containsInteger="1" minValue="0" maxValue="1"/>
    </cacheField>
    <cacheField name="Incoming Flag" numFmtId="0">
      <sharedItems containsSemiMixedTypes="0" containsString="0" containsNumber="1" containsInteger="1" minValue="0" maxValue="1"/>
    </cacheField>
    <cacheField name="Outgoing Flag" numFmtId="0">
      <sharedItems containsSemiMixedTypes="0" containsString="0" containsNumber="1" containsInteger="1" minValue="0" maxValue="1" count="2">
        <n v="0"/>
        <n v="1"/>
      </sharedItems>
    </cacheField>
    <cacheField name="Completed Incoming" numFmtId="0">
      <sharedItems containsSemiMixedTypes="0" containsString="0" containsNumber="1" containsInteger="1" minValue="0" maxValue="1"/>
    </cacheField>
    <cacheField name="Date" numFmtId="14">
      <sharedItems containsSemiMixedTypes="0" containsNonDate="0" containsDate="1" containsString="0" minDate="2026-08-02T00:00:00" maxDate="2026-08-08T00:00:00" count="6">
        <d v="2026-08-03T00:00:00"/>
        <d v="2026-08-02T00:00:00"/>
        <d v="2026-08-04T00:00:00"/>
        <d v="2026-08-05T00:00:00"/>
        <d v="2026-08-06T00:00:00"/>
        <d v="2026-08-07T00:00:00"/>
      </sharedItems>
      <fieldGroup par="23"/>
    </cacheField>
    <cacheField name="StartTime" numFmtId="22">
      <sharedItems containsDate="1" containsMixedTypes="1" minDate="2026-08-02T08:29:49" maxDate="2026-08-07T22:43:35"/>
    </cacheField>
    <cacheField name="EndTime" numFmtId="22">
      <sharedItems containsSemiMixedTypes="0" containsNonDate="0" containsDate="1" containsString="0" minDate="2026-08-02T08:30:17" maxDate="2026-08-07T22:43:49"/>
    </cacheField>
    <cacheField name="Duration of call (in Sec)" numFmtId="0">
      <sharedItems containsSemiMixedTypes="0" containsString="0" containsNumber="1" containsInteger="1" minValue="1" maxValue="1526"/>
    </cacheField>
    <cacheField name="MISSED-Failed-no answer" numFmtId="0">
      <sharedItems containsSemiMixedTypes="0" containsString="0" containsNumber="1" containsInteger="1" minValue="0" maxValue="1"/>
    </cacheField>
    <cacheField name="Price for a call" numFmtId="0">
      <sharedItems containsString="0" containsBlank="1" containsNumber="1" minValue="0.4" maxValue="11.5"/>
    </cacheField>
    <cacheField name="Sales Person Location" numFmtId="0">
      <sharedItems containsBlank="1"/>
    </cacheField>
    <cacheField name="Customer Location" numFmtId="0">
      <sharedItems/>
    </cacheField>
    <cacheField name="Column1" numFmtId="0">
      <sharedItems containsNonDate="0" containsString="0" containsBlank="1"/>
    </cacheField>
    <cacheField name="Months (Date)" numFmtId="0" databaseField="0">
      <fieldGroup base="14">
        <rangePr groupBy="months" startDate="2026-08-02T00:00:00" endDate="2026-08-08T00:00:00"/>
        <groupItems count="14">
          <s v="&lt;02-08-2026"/>
          <s v="Jan"/>
          <s v="Feb"/>
          <s v="Mar"/>
          <s v="Apr"/>
          <s v="May"/>
          <s v="Jun"/>
          <s v="Jul"/>
          <s v="Aug"/>
          <s v="Sep"/>
          <s v="Oct"/>
          <s v="Nov"/>
          <s v="Dec"/>
          <s v="&gt;08-08-2026"/>
        </groupItems>
      </fieldGroup>
    </cacheField>
  </cacheFields>
  <extLst>
    <ext xmlns:x14="http://schemas.microsoft.com/office/spreadsheetml/2009/9/main" uri="{725AE2AE-9491-48be-B2B4-4EB974FC3084}">
      <x14:pivotCacheDefinition pivotCacheId="764874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8">
  <r>
    <s v="C105"/>
    <x v="0"/>
    <n v="8099389567"/>
    <n v="224885655"/>
    <x v="0"/>
    <s v="Pooja Shah"/>
    <n v="1000000014"/>
    <x v="0"/>
    <n v="0"/>
    <x v="0"/>
    <n v="0"/>
    <n v="1"/>
    <x v="0"/>
    <n v="0"/>
    <x v="0"/>
    <d v="2026-08-03T12:23:53"/>
    <d v="2026-08-03T12:23:59"/>
    <n v="8"/>
    <n v="0"/>
    <m/>
    <s v="GJ"/>
    <s v="KA"/>
    <m/>
  </r>
  <r>
    <s v="C111"/>
    <x v="0"/>
    <n v="8099389567"/>
    <n v="900417386"/>
    <x v="1"/>
    <s v="Aditya Rao"/>
    <n v="1000000009"/>
    <x v="0"/>
    <n v="0"/>
    <x v="0"/>
    <n v="0"/>
    <n v="1"/>
    <x v="0"/>
    <n v="0"/>
    <x v="0"/>
    <d v="2026-08-03T12:28:38"/>
    <d v="2026-08-03T12:28:58"/>
    <n v="21"/>
    <n v="0"/>
    <m/>
    <s v="KA"/>
    <s v="KA"/>
    <m/>
  </r>
  <r>
    <s v="C112"/>
    <x v="0"/>
    <n v="8099389567"/>
    <n v="577506333"/>
    <x v="2"/>
    <s v="Ishita Gupta"/>
    <n v="1000000016"/>
    <x v="1"/>
    <n v="1"/>
    <x v="0"/>
    <n v="1"/>
    <n v="1"/>
    <x v="0"/>
    <n v="1"/>
    <x v="0"/>
    <d v="2026-08-03T12:29:00"/>
    <d v="2026-08-03T12:36:06"/>
    <n v="426"/>
    <n v="0"/>
    <n v="2.8"/>
    <s v="KA"/>
    <s v="KA"/>
    <m/>
  </r>
  <r>
    <s v="C115"/>
    <x v="0"/>
    <n v="8099389567"/>
    <n v="432798330"/>
    <x v="3"/>
    <s v="Rohan Das"/>
    <n v="1000000017"/>
    <x v="1"/>
    <n v="1"/>
    <x v="0"/>
    <n v="1"/>
    <n v="1"/>
    <x v="0"/>
    <n v="1"/>
    <x v="0"/>
    <d v="2026-08-03T12:31:33"/>
    <d v="2026-08-03T12:33:10"/>
    <n v="97"/>
    <n v="0"/>
    <n v="0.4"/>
    <s v="KA"/>
    <s v="KA"/>
    <m/>
  </r>
  <r>
    <s v="C117"/>
    <x v="0"/>
    <n v="8099389567"/>
    <n v="925746665"/>
    <x v="4"/>
    <s v="Simran Kaur"/>
    <n v="1000000028"/>
    <x v="1"/>
    <n v="1"/>
    <x v="0"/>
    <n v="1"/>
    <n v="1"/>
    <x v="0"/>
    <n v="1"/>
    <x v="0"/>
    <d v="2026-08-03T12:54:54"/>
    <d v="2026-08-03T13:07:40"/>
    <n v="768"/>
    <n v="0"/>
    <n v="5.2"/>
    <s v="KA"/>
    <s v="KA"/>
    <m/>
  </r>
  <r>
    <s v="C125"/>
    <x v="0"/>
    <n v="8099389567"/>
    <n v="18831166"/>
    <x v="5"/>
    <s v="Priya Iyer"/>
    <n v="1000000006"/>
    <x v="0"/>
    <n v="0"/>
    <x v="0"/>
    <n v="0"/>
    <n v="1"/>
    <x v="0"/>
    <n v="0"/>
    <x v="0"/>
    <d v="2026-08-03T13:22:05"/>
    <d v="2026-08-03T13:22:12"/>
    <n v="7"/>
    <n v="0"/>
    <m/>
    <s v="RJ"/>
    <s v="KA"/>
    <m/>
  </r>
  <r>
    <s v="C126"/>
    <x v="0"/>
    <n v="8099389567"/>
    <n v="858283693"/>
    <x v="6"/>
    <s v="Ananya Nair"/>
    <n v="1000000004"/>
    <x v="1"/>
    <n v="1"/>
    <x v="0"/>
    <n v="1"/>
    <n v="1"/>
    <x v="0"/>
    <n v="1"/>
    <x v="0"/>
    <d v="2026-08-03T13:42:29"/>
    <d v="2026-08-03T13:43:02"/>
    <n v="34"/>
    <n v="0"/>
    <n v="0.4"/>
    <s v="KA"/>
    <s v="KA"/>
    <m/>
  </r>
  <r>
    <s v="C127"/>
    <x v="0"/>
    <n v="8099389567"/>
    <n v="913511869"/>
    <x v="7"/>
    <s v="Sneha Reddy"/>
    <n v="1000000008"/>
    <x v="2"/>
    <n v="0"/>
    <x v="0"/>
    <n v="0"/>
    <n v="1"/>
    <x v="0"/>
    <n v="0"/>
    <x v="0"/>
    <d v="2026-08-03T13:45:32"/>
    <d v="2026-08-03T13:46:17"/>
    <n v="46"/>
    <n v="1"/>
    <m/>
    <s v="KA"/>
    <s v="KA"/>
    <m/>
  </r>
  <r>
    <s v="C128"/>
    <x v="0"/>
    <n v="8099389567"/>
    <n v="832577930"/>
    <x v="8"/>
    <s v="Meera Joshi"/>
    <n v="1000000010"/>
    <x v="1"/>
    <n v="1"/>
    <x v="0"/>
    <n v="1"/>
    <n v="1"/>
    <x v="0"/>
    <n v="1"/>
    <x v="0"/>
    <d v="2026-08-03T13:45:49"/>
    <d v="2026-08-03T13:51:42"/>
    <n v="355"/>
    <n v="0"/>
    <n v="2.4"/>
    <s v="KA"/>
    <s v="KA"/>
    <m/>
  </r>
  <r>
    <s v="C129"/>
    <x v="0"/>
    <n v="8099389567"/>
    <n v="640895463"/>
    <x v="9"/>
    <s v="Arjun Kapoor"/>
    <n v="1000000011"/>
    <x v="1"/>
    <n v="1"/>
    <x v="0"/>
    <n v="1"/>
    <n v="1"/>
    <x v="0"/>
    <n v="1"/>
    <x v="0"/>
    <d v="2026-08-03T13:46:21"/>
    <d v="2026-08-03T13:47:21"/>
    <n v="61"/>
    <n v="0"/>
    <n v="0.4"/>
    <s v="KA"/>
    <s v="KA"/>
    <m/>
  </r>
  <r>
    <s v="C137"/>
    <x v="0"/>
    <n v="8099389567"/>
    <n v="122210367"/>
    <x v="2"/>
    <s v="Pallavi Naik"/>
    <n v="1000000034"/>
    <x v="0"/>
    <n v="0"/>
    <x v="0"/>
    <n v="0"/>
    <n v="1"/>
    <x v="0"/>
    <n v="0"/>
    <x v="0"/>
    <d v="2026-08-03T14:18:50"/>
    <d v="2026-08-03T14:19:04"/>
    <n v="15"/>
    <n v="0"/>
    <m/>
    <s v="KA"/>
    <s v="KA"/>
    <m/>
  </r>
  <r>
    <s v="C138"/>
    <x v="0"/>
    <n v="8099389567"/>
    <n v="910304698"/>
    <x v="10"/>
    <s v="Rohan Das"/>
    <n v="1000000017"/>
    <x v="2"/>
    <n v="0"/>
    <x v="0"/>
    <n v="0"/>
    <n v="1"/>
    <x v="0"/>
    <n v="0"/>
    <x v="0"/>
    <d v="2026-08-03T14:19:40"/>
    <d v="2026-08-03T14:20:30"/>
    <n v="50"/>
    <n v="1"/>
    <m/>
    <s v="KA"/>
    <s v="KA"/>
    <m/>
  </r>
  <r>
    <s v="C14"/>
    <x v="0"/>
    <n v="8099389567"/>
    <n v="3632601"/>
    <x v="11"/>
    <s v="Tanvi Kulkarni"/>
    <n v="1000000018"/>
    <x v="0"/>
    <n v="0"/>
    <x v="0"/>
    <n v="0"/>
    <n v="1"/>
    <x v="0"/>
    <n v="0"/>
    <x v="1"/>
    <d v="2026-08-02T08:35:18"/>
    <d v="2026-08-02T08:35:35"/>
    <n v="18"/>
    <n v="0"/>
    <m/>
    <s v="KA"/>
    <s v="KA"/>
    <m/>
  </r>
  <r>
    <s v="C140"/>
    <x v="0"/>
    <n v="8099389567"/>
    <n v="439248817"/>
    <x v="12"/>
    <s v="Aarav Sharma"/>
    <n v="1000000001"/>
    <x v="1"/>
    <n v="1"/>
    <x v="0"/>
    <n v="1"/>
    <n v="1"/>
    <x v="0"/>
    <n v="1"/>
    <x v="0"/>
    <d v="2026-08-03T14:57:48"/>
    <d v="2026-08-03T15:17:36"/>
    <n v="1190"/>
    <n v="0"/>
    <n v="8"/>
    <s v="KA"/>
    <s v="KA"/>
    <m/>
  </r>
  <r>
    <s v="C141"/>
    <x v="0"/>
    <n v="8099389567"/>
    <n v="248406541"/>
    <x v="13"/>
    <s v="Sneha Reddy"/>
    <n v="1000000008"/>
    <x v="1"/>
    <n v="1"/>
    <x v="0"/>
    <n v="1"/>
    <n v="1"/>
    <x v="0"/>
    <n v="1"/>
    <x v="0"/>
    <d v="2026-08-03T15:08:17"/>
    <d v="2026-08-03T15:12:24"/>
    <n v="248"/>
    <n v="0"/>
    <n v="1.6"/>
    <s v="KA"/>
    <s v="KA"/>
    <m/>
  </r>
  <r>
    <s v="C143"/>
    <x v="0"/>
    <n v="8099389567"/>
    <n v="207141783"/>
    <x v="14"/>
    <s v="Tanvi Kulkarni"/>
    <n v="1000000018"/>
    <x v="0"/>
    <n v="0"/>
    <x v="0"/>
    <n v="0"/>
    <n v="1"/>
    <x v="0"/>
    <n v="0"/>
    <x v="0"/>
    <d v="2026-08-03T15:18:07"/>
    <d v="2026-08-03T15:18:16"/>
    <n v="10"/>
    <n v="0"/>
    <m/>
    <s v="KA"/>
    <s v="KA"/>
    <m/>
  </r>
  <r>
    <s v="C144"/>
    <x v="0"/>
    <n v="8099389567"/>
    <n v="978555161"/>
    <x v="15"/>
    <s v="Divya Sethi"/>
    <n v="1000000022"/>
    <x v="0"/>
    <n v="0"/>
    <x v="0"/>
    <n v="0"/>
    <n v="1"/>
    <x v="0"/>
    <n v="0"/>
    <x v="0"/>
    <d v="2026-08-03T15:21:34"/>
    <d v="2026-08-03T15:21:40"/>
    <n v="7"/>
    <n v="0"/>
    <m/>
    <s v="KA"/>
    <s v="KA"/>
    <m/>
  </r>
  <r>
    <s v="C148"/>
    <x v="0"/>
    <n v="8099389567"/>
    <n v="455637777"/>
    <x v="15"/>
    <s v="Arjun Kapoor"/>
    <n v="1000000011"/>
    <x v="1"/>
    <n v="1"/>
    <x v="0"/>
    <n v="1"/>
    <n v="1"/>
    <x v="0"/>
    <n v="1"/>
    <x v="0"/>
    <d v="2026-08-03T15:57:12"/>
    <d v="2026-08-03T16:06:54"/>
    <n v="583"/>
    <n v="0"/>
    <n v="4"/>
    <s v="KA"/>
    <s v="KA"/>
    <m/>
  </r>
  <r>
    <s v="C149"/>
    <x v="0"/>
    <n v="8099389567"/>
    <n v="876036921"/>
    <x v="16"/>
    <s v="Nandini Bose"/>
    <n v="1000000030"/>
    <x v="2"/>
    <n v="0"/>
    <x v="0"/>
    <n v="0"/>
    <n v="1"/>
    <x v="0"/>
    <n v="0"/>
    <x v="0"/>
    <d v="2026-08-03T16:25:57"/>
    <d v="2026-08-03T16:26:39"/>
    <n v="43"/>
    <n v="1"/>
    <m/>
    <s v="KA"/>
    <s v="KA"/>
    <m/>
  </r>
  <r>
    <s v="C15"/>
    <x v="0"/>
    <n v="8099389567"/>
    <n v="590065495"/>
    <x v="17"/>
    <s v="Ishita Gupta"/>
    <n v="1000000016"/>
    <x v="2"/>
    <n v="0"/>
    <x v="0"/>
    <n v="0"/>
    <n v="1"/>
    <x v="0"/>
    <n v="0"/>
    <x v="1"/>
    <s v="t"/>
    <d v="2026-08-02T08:45:21"/>
    <n v="82"/>
    <n v="1"/>
    <m/>
    <s v="KA"/>
    <s v="KA"/>
    <m/>
  </r>
  <r>
    <s v="C150"/>
    <x v="0"/>
    <n v="8099389567"/>
    <n v="121125131"/>
    <x v="16"/>
    <s v="Aarav Sharma"/>
    <n v="1000000001"/>
    <x v="0"/>
    <n v="0"/>
    <x v="0"/>
    <n v="0"/>
    <n v="1"/>
    <x v="0"/>
    <n v="0"/>
    <x v="0"/>
    <d v="2026-08-03T16:36:36"/>
    <d v="2026-08-03T16:36:47"/>
    <n v="12"/>
    <n v="0"/>
    <m/>
    <s v="KA"/>
    <s v="KA"/>
    <m/>
  </r>
  <r>
    <s v="C151"/>
    <x v="0"/>
    <n v="8099389567"/>
    <n v="480575038"/>
    <x v="18"/>
    <s v="Rohan Das"/>
    <n v="1000000017"/>
    <x v="1"/>
    <n v="1"/>
    <x v="0"/>
    <n v="1"/>
    <n v="1"/>
    <x v="0"/>
    <n v="1"/>
    <x v="0"/>
    <d v="2026-08-03T16:58:28"/>
    <d v="2026-08-03T17:00:36"/>
    <n v="130"/>
    <n v="0"/>
    <n v="0.4"/>
    <s v="KA"/>
    <s v="KA"/>
    <m/>
  </r>
  <r>
    <s v="C152"/>
    <x v="0"/>
    <n v="8099389567"/>
    <n v="287932330"/>
    <x v="12"/>
    <s v="Gaurav Bansal"/>
    <n v="1000000033"/>
    <x v="1"/>
    <n v="1"/>
    <x v="0"/>
    <n v="1"/>
    <n v="1"/>
    <x v="0"/>
    <n v="1"/>
    <x v="0"/>
    <d v="2026-08-03T17:00:44"/>
    <d v="2026-08-03T17:03:18"/>
    <n v="155"/>
    <n v="0"/>
    <n v="0.8"/>
    <s v="KA"/>
    <s v="KA"/>
    <m/>
  </r>
  <r>
    <s v="C153"/>
    <x v="0"/>
    <n v="8099389567"/>
    <n v="823887648"/>
    <x v="9"/>
    <s v="Kavya Menon"/>
    <n v="1000000012"/>
    <x v="1"/>
    <n v="1"/>
    <x v="0"/>
    <n v="1"/>
    <n v="1"/>
    <x v="0"/>
    <n v="1"/>
    <x v="0"/>
    <d v="2026-08-03T17:05:31"/>
    <d v="2026-08-03T17:13:43"/>
    <n v="494"/>
    <n v="0"/>
    <n v="3.2"/>
    <s v="KA"/>
    <s v="KA"/>
    <m/>
  </r>
  <r>
    <s v="C154"/>
    <x v="0"/>
    <n v="8099389567"/>
    <n v="279744156"/>
    <x v="19"/>
    <s v="Gaurav Bansal"/>
    <n v="1000000033"/>
    <x v="0"/>
    <n v="0"/>
    <x v="0"/>
    <n v="0"/>
    <n v="1"/>
    <x v="0"/>
    <n v="0"/>
    <x v="0"/>
    <d v="2026-08-03T17:18:08"/>
    <d v="2026-08-03T17:18:21"/>
    <n v="11"/>
    <n v="0"/>
    <m/>
    <s v="KA"/>
    <s v="KA"/>
    <m/>
  </r>
  <r>
    <s v="C155"/>
    <x v="0"/>
    <n v="8099389567"/>
    <n v="233114113"/>
    <x v="0"/>
    <s v="Rahul Verma"/>
    <n v="1000000007"/>
    <x v="1"/>
    <n v="1"/>
    <x v="0"/>
    <n v="1"/>
    <n v="1"/>
    <x v="0"/>
    <n v="1"/>
    <x v="0"/>
    <d v="2026-08-03T17:21:28"/>
    <d v="2026-08-03T17:24:06"/>
    <n v="163"/>
    <n v="0"/>
    <n v="0.8"/>
    <s v="KA"/>
    <s v="KA"/>
    <m/>
  </r>
  <r>
    <s v="C156"/>
    <x v="0"/>
    <n v="8099389567"/>
    <n v="628821463"/>
    <x v="20"/>
    <s v="Neha Bhat"/>
    <n v="1000000020"/>
    <x v="1"/>
    <n v="1"/>
    <x v="0"/>
    <n v="1"/>
    <n v="1"/>
    <x v="0"/>
    <n v="1"/>
    <x v="0"/>
    <d v="2026-08-03T17:31:55"/>
    <d v="2026-08-03T17:33:30"/>
    <n v="96"/>
    <n v="0"/>
    <n v="0.4"/>
    <s v="KA"/>
    <s v="KA"/>
    <m/>
  </r>
  <r>
    <s v="C157"/>
    <x v="0"/>
    <n v="8099389567"/>
    <n v="379376386"/>
    <x v="21"/>
    <s v="Gaurav Bansal"/>
    <n v="1000000033"/>
    <x v="0"/>
    <n v="0"/>
    <x v="0"/>
    <n v="0"/>
    <n v="1"/>
    <x v="0"/>
    <n v="0"/>
    <x v="0"/>
    <d v="2026-08-03T17:32:14"/>
    <d v="2026-08-03T17:32:24"/>
    <n v="11"/>
    <n v="0"/>
    <m/>
    <s v="KA"/>
    <s v="KA"/>
    <m/>
  </r>
  <r>
    <s v="C158"/>
    <x v="0"/>
    <n v="8099389567"/>
    <n v="432037307"/>
    <x v="15"/>
    <s v="Rohit Bedi"/>
    <n v="1000000039"/>
    <x v="0"/>
    <n v="0"/>
    <x v="0"/>
    <n v="0"/>
    <n v="1"/>
    <x v="0"/>
    <n v="0"/>
    <x v="0"/>
    <d v="2026-08-03T17:33:18"/>
    <d v="2026-08-03T17:33:25"/>
    <n v="8"/>
    <n v="0"/>
    <m/>
    <s v="KA"/>
    <s v="KA"/>
    <m/>
  </r>
  <r>
    <s v="C159"/>
    <x v="0"/>
    <n v="8099389567"/>
    <n v="401249303"/>
    <x v="19"/>
    <s v="Nikhil Jain"/>
    <n v="1000000013"/>
    <x v="1"/>
    <n v="1"/>
    <x v="0"/>
    <n v="1"/>
    <n v="1"/>
    <x v="0"/>
    <n v="1"/>
    <x v="0"/>
    <d v="2026-08-03T17:33:33"/>
    <d v="2026-08-03T17:36:08"/>
    <n v="156"/>
    <n v="0"/>
    <n v="0.4"/>
    <s v="KA"/>
    <s v="KA"/>
    <m/>
  </r>
  <r>
    <s v="C16"/>
    <x v="0"/>
    <n v="8099389567"/>
    <n v="416937095"/>
    <x v="22"/>
    <s v="Varun Singh"/>
    <n v="1000000015"/>
    <x v="1"/>
    <n v="1"/>
    <x v="0"/>
    <n v="1"/>
    <n v="1"/>
    <x v="0"/>
    <n v="1"/>
    <x v="1"/>
    <d v="2026-08-02T08:50:06"/>
    <d v="2026-08-02T08:56:57"/>
    <n v="412"/>
    <n v="0"/>
    <n v="2.8"/>
    <s v="KA"/>
    <s v="KA"/>
    <m/>
  </r>
  <r>
    <s v="C160"/>
    <x v="0"/>
    <n v="8099389567"/>
    <n v="319647139"/>
    <x v="18"/>
    <s v="Meera Joshi"/>
    <n v="1000000010"/>
    <x v="0"/>
    <n v="0"/>
    <x v="0"/>
    <n v="0"/>
    <n v="1"/>
    <x v="0"/>
    <n v="0"/>
    <x v="0"/>
    <d v="2026-08-03T17:36:01"/>
    <d v="2026-08-03T17:36:20"/>
    <n v="20"/>
    <n v="0"/>
    <m/>
    <s v="KA"/>
    <s v="KA"/>
    <m/>
  </r>
  <r>
    <s v="C161"/>
    <x v="0"/>
    <n v="8099389567"/>
    <n v="139164288"/>
    <x v="23"/>
    <s v="Shreya Pillai"/>
    <n v="1000000024"/>
    <x v="1"/>
    <n v="1"/>
    <x v="0"/>
    <n v="1"/>
    <n v="1"/>
    <x v="0"/>
    <n v="1"/>
    <x v="0"/>
    <d v="2026-08-03T17:36:15"/>
    <d v="2026-08-03T17:37:12"/>
    <n v="62"/>
    <n v="0"/>
    <n v="0.4"/>
    <s v="KA"/>
    <s v="KA"/>
    <m/>
  </r>
  <r>
    <s v="C162"/>
    <x v="0"/>
    <n v="8099389567"/>
    <n v="290751369"/>
    <x v="24"/>
    <s v="Arjun Kapoor"/>
    <n v="1000000011"/>
    <x v="1"/>
    <n v="1"/>
    <x v="0"/>
    <n v="1"/>
    <n v="1"/>
    <x v="0"/>
    <n v="1"/>
    <x v="0"/>
    <d v="2026-08-03T17:37:20"/>
    <d v="2026-08-03T17:51:29"/>
    <n v="850"/>
    <n v="0"/>
    <n v="5.6"/>
    <s v="KA"/>
    <s v="KA"/>
    <m/>
  </r>
  <r>
    <s v="C163"/>
    <x v="0"/>
    <n v="8099389567"/>
    <n v="107059949"/>
    <x v="25"/>
    <s v="Amit Khanna"/>
    <n v="1000000035"/>
    <x v="0"/>
    <n v="0"/>
    <x v="0"/>
    <n v="0"/>
    <n v="1"/>
    <x v="0"/>
    <n v="0"/>
    <x v="0"/>
    <d v="2026-08-03T17:37:58"/>
    <d v="2026-08-03T17:38:06"/>
    <n v="9"/>
    <n v="0"/>
    <m/>
    <s v="KA"/>
    <s v="KA"/>
    <m/>
  </r>
  <r>
    <s v="C169"/>
    <x v="0"/>
    <n v="8099389567"/>
    <n v="971503761"/>
    <x v="11"/>
    <s v="Riya Mehta"/>
    <n v="1000000002"/>
    <x v="1"/>
    <n v="1"/>
    <x v="0"/>
    <n v="1"/>
    <n v="1"/>
    <x v="0"/>
    <n v="1"/>
    <x v="0"/>
    <d v="2026-08-03T17:43:31"/>
    <d v="2026-08-03T17:44:12"/>
    <n v="43"/>
    <n v="0"/>
    <n v="0.4"/>
    <s v="TN"/>
    <s v="KA"/>
    <m/>
  </r>
  <r>
    <s v="C17"/>
    <x v="0"/>
    <n v="8099389567"/>
    <n v="720035961"/>
    <x v="24"/>
    <s v="Aditya Rao"/>
    <n v="1000000009"/>
    <x v="2"/>
    <n v="0"/>
    <x v="0"/>
    <n v="0"/>
    <n v="1"/>
    <x v="0"/>
    <n v="0"/>
    <x v="1"/>
    <d v="2026-08-02T09:21:30"/>
    <d v="2026-08-02T09:22:25"/>
    <n v="56"/>
    <n v="1"/>
    <m/>
    <s v="KA"/>
    <s v="KA"/>
    <m/>
  </r>
  <r>
    <s v="C172"/>
    <x v="0"/>
    <n v="8099389567"/>
    <n v="635859674"/>
    <x v="14"/>
    <s v="Neha Bhat"/>
    <n v="1000000020"/>
    <x v="0"/>
    <n v="0"/>
    <x v="0"/>
    <n v="0"/>
    <n v="1"/>
    <x v="0"/>
    <n v="0"/>
    <x v="0"/>
    <d v="2026-08-03T17:44:15"/>
    <d v="2026-08-03T17:44:36"/>
    <n v="22"/>
    <n v="0"/>
    <m/>
    <s v="TN"/>
    <s v="KA"/>
    <m/>
  </r>
  <r>
    <s v="C173"/>
    <x v="0"/>
    <n v="8099389567"/>
    <n v="49531867"/>
    <x v="15"/>
    <s v="Ishita Gupta"/>
    <n v="1000000016"/>
    <x v="1"/>
    <n v="1"/>
    <x v="0"/>
    <n v="1"/>
    <n v="1"/>
    <x v="0"/>
    <n v="1"/>
    <x v="0"/>
    <d v="2026-08-03T17:45:04"/>
    <d v="2026-08-03T17:46:25"/>
    <n v="82"/>
    <n v="0"/>
    <n v="0.4"/>
    <s v="TN"/>
    <s v="KA"/>
    <m/>
  </r>
  <r>
    <s v="C176"/>
    <x v="0"/>
    <n v="8099389567"/>
    <n v="897517981"/>
    <x v="4"/>
    <s v="Sanjay Oberoi"/>
    <n v="1000000037"/>
    <x v="1"/>
    <n v="1"/>
    <x v="0"/>
    <n v="1"/>
    <n v="1"/>
    <x v="0"/>
    <n v="1"/>
    <x v="0"/>
    <d v="2026-08-03T17:47:44"/>
    <d v="2026-08-03T17:48:40"/>
    <n v="57"/>
    <n v="0"/>
    <n v="0.4"/>
    <s v="TN"/>
    <s v="KA"/>
    <m/>
  </r>
  <r>
    <s v="C178"/>
    <x v="0"/>
    <n v="8099389567"/>
    <n v="85072446"/>
    <x v="26"/>
    <s v="Priya Iyer"/>
    <n v="1000000006"/>
    <x v="1"/>
    <n v="1"/>
    <x v="0"/>
    <n v="1"/>
    <n v="1"/>
    <x v="0"/>
    <n v="1"/>
    <x v="0"/>
    <d v="2026-08-03T17:48:44"/>
    <d v="2026-08-03T17:49:26"/>
    <n v="43"/>
    <n v="0"/>
    <n v="0.4"/>
    <s v="TN"/>
    <s v="KA"/>
    <m/>
  </r>
  <r>
    <s v="C179"/>
    <x v="0"/>
    <n v="8099389567"/>
    <n v="847982401"/>
    <x v="11"/>
    <s v="Sakshi Desai"/>
    <n v="1000000032"/>
    <x v="1"/>
    <n v="1"/>
    <x v="0"/>
    <n v="1"/>
    <n v="1"/>
    <x v="0"/>
    <n v="1"/>
    <x v="0"/>
    <d v="2026-08-03T17:51:56"/>
    <d v="2026-08-03T17:58:21"/>
    <n v="386"/>
    <n v="0"/>
    <n v="2.4"/>
    <s v="KA"/>
    <s v="KA"/>
    <m/>
  </r>
  <r>
    <s v="C180"/>
    <x v="0"/>
    <n v="8099389567"/>
    <n v="480629083"/>
    <x v="5"/>
    <s v="Karan Malhotra"/>
    <n v="1000000005"/>
    <x v="2"/>
    <n v="0"/>
    <x v="0"/>
    <n v="0"/>
    <n v="1"/>
    <x v="0"/>
    <n v="0"/>
    <x v="0"/>
    <d v="2026-08-03T17:52:37"/>
    <d v="2026-08-03T17:53:15"/>
    <n v="39"/>
    <n v="1"/>
    <m/>
    <s v="TN"/>
    <s v="KA"/>
    <m/>
  </r>
  <r>
    <s v="C181"/>
    <x v="0"/>
    <n v="8099389567"/>
    <n v="853155791"/>
    <x v="3"/>
    <s v="Amit Khanna"/>
    <n v="1000000035"/>
    <x v="0"/>
    <n v="0"/>
    <x v="0"/>
    <n v="0"/>
    <n v="1"/>
    <x v="0"/>
    <n v="0"/>
    <x v="0"/>
    <d v="2026-08-03T17:53:38"/>
    <d v="2026-08-03T17:53:41"/>
    <n v="4"/>
    <n v="0"/>
    <m/>
    <s v="TN"/>
    <s v="KA"/>
    <m/>
  </r>
  <r>
    <s v="C183"/>
    <x v="0"/>
    <n v="8099389567"/>
    <n v="961525472"/>
    <x v="27"/>
    <s v="Aditya Rao"/>
    <n v="1000000009"/>
    <x v="1"/>
    <n v="1"/>
    <x v="0"/>
    <n v="1"/>
    <n v="1"/>
    <x v="0"/>
    <n v="1"/>
    <x v="0"/>
    <d v="2026-08-03T17:53:44"/>
    <d v="2026-08-03T17:54:28"/>
    <n v="46"/>
    <n v="0"/>
    <n v="0.4"/>
    <s v="TN"/>
    <s v="KA"/>
    <m/>
  </r>
  <r>
    <s v="C184"/>
    <x v="0"/>
    <n v="8099389567"/>
    <n v="259732326"/>
    <x v="28"/>
    <s v="Abhishek Roy"/>
    <n v="1000000031"/>
    <x v="1"/>
    <n v="1"/>
    <x v="0"/>
    <n v="1"/>
    <n v="1"/>
    <x v="0"/>
    <n v="1"/>
    <x v="0"/>
    <d v="2026-08-03T17:54:48"/>
    <d v="2026-08-03T17:55:56"/>
    <n v="69"/>
    <n v="0"/>
    <n v="0.4"/>
    <s v="TN"/>
    <s v="KA"/>
    <m/>
  </r>
  <r>
    <s v="C186"/>
    <x v="0"/>
    <n v="8099389567"/>
    <n v="215983531"/>
    <x v="25"/>
    <s v="Arjun Kapoor"/>
    <n v="1000000011"/>
    <x v="1"/>
    <n v="1"/>
    <x v="0"/>
    <n v="1"/>
    <n v="1"/>
    <x v="0"/>
    <n v="1"/>
    <x v="0"/>
    <d v="2026-08-03T17:55:57"/>
    <d v="2026-08-03T17:57:29"/>
    <n v="93"/>
    <n v="0"/>
    <n v="0.4"/>
    <s v="TN"/>
    <s v="KA"/>
    <m/>
  </r>
  <r>
    <s v="C189"/>
    <x v="0"/>
    <n v="8099389567"/>
    <n v="775853175"/>
    <x v="29"/>
    <s v="Rohit Bedi"/>
    <n v="1000000039"/>
    <x v="1"/>
    <n v="1"/>
    <x v="0"/>
    <n v="1"/>
    <n v="1"/>
    <x v="0"/>
    <n v="1"/>
    <x v="0"/>
    <d v="2026-08-03T17:57:50"/>
    <d v="2026-08-03T18:05:58"/>
    <n v="488"/>
    <n v="0"/>
    <n v="3.2"/>
    <s v="KA"/>
    <s v="KA"/>
    <m/>
  </r>
  <r>
    <s v="C19"/>
    <x v="0"/>
    <n v="8099389567"/>
    <n v="726803747"/>
    <x v="2"/>
    <s v="Amit Khanna"/>
    <n v="1000000035"/>
    <x v="1"/>
    <n v="1"/>
    <x v="0"/>
    <n v="1"/>
    <n v="1"/>
    <x v="0"/>
    <n v="1"/>
    <x v="1"/>
    <d v="2026-08-02T09:25:00"/>
    <d v="2026-08-02T09:36:11"/>
    <n v="672"/>
    <n v="0"/>
    <n v="4.4000000000000004"/>
    <s v="KA"/>
    <s v="KA"/>
    <m/>
  </r>
  <r>
    <s v="C193"/>
    <x v="0"/>
    <n v="8099389567"/>
    <n v="187967563"/>
    <x v="25"/>
    <s v="Nikhil Jain"/>
    <n v="1000000013"/>
    <x v="1"/>
    <n v="1"/>
    <x v="0"/>
    <n v="1"/>
    <n v="1"/>
    <x v="0"/>
    <n v="1"/>
    <x v="0"/>
    <d v="2026-08-03T18:05:05"/>
    <d v="2026-08-03T18:06:00"/>
    <n v="56"/>
    <n v="0"/>
    <n v="0.4"/>
    <s v="TN"/>
    <s v="KA"/>
    <m/>
  </r>
  <r>
    <s v="C194"/>
    <x v="0"/>
    <n v="8099389567"/>
    <n v="557621137"/>
    <x v="13"/>
    <s v="Neha Bhat"/>
    <n v="1000000020"/>
    <x v="1"/>
    <n v="1"/>
    <x v="0"/>
    <n v="1"/>
    <n v="1"/>
    <x v="0"/>
    <n v="1"/>
    <x v="0"/>
    <d v="2026-08-03T18:06:10"/>
    <d v="2026-08-03T18:06:57"/>
    <n v="47"/>
    <n v="0"/>
    <n v="0.4"/>
    <s v="TN"/>
    <s v="KA"/>
    <m/>
  </r>
  <r>
    <s v="C195"/>
    <x v="0"/>
    <n v="8099389567"/>
    <n v="424606547"/>
    <x v="27"/>
    <s v="Aditi Ghosh"/>
    <n v="1000000026"/>
    <x v="1"/>
    <n v="1"/>
    <x v="0"/>
    <n v="1"/>
    <n v="1"/>
    <x v="0"/>
    <n v="1"/>
    <x v="0"/>
    <d v="2026-08-03T18:06:58"/>
    <d v="2026-08-03T18:07:43"/>
    <n v="46"/>
    <n v="0"/>
    <n v="0.4"/>
    <s v="TN"/>
    <s v="KA"/>
    <m/>
  </r>
  <r>
    <s v="C196"/>
    <x v="0"/>
    <n v="8099389567"/>
    <n v="103960291"/>
    <x v="2"/>
    <s v="Shreya Pillai"/>
    <n v="1000000024"/>
    <x v="1"/>
    <n v="1"/>
    <x v="0"/>
    <n v="1"/>
    <n v="1"/>
    <x v="0"/>
    <n v="1"/>
    <x v="0"/>
    <d v="2026-08-03T18:07:14"/>
    <d v="2026-08-03T18:15:50"/>
    <n v="517"/>
    <n v="0"/>
    <n v="3.6"/>
    <s v="KA"/>
    <s v="KA"/>
    <m/>
  </r>
  <r>
    <s v="C197"/>
    <x v="0"/>
    <n v="8099389567"/>
    <n v="461637002"/>
    <x v="26"/>
    <s v="Deepak Saxena"/>
    <n v="1000000029"/>
    <x v="2"/>
    <n v="0"/>
    <x v="0"/>
    <n v="0"/>
    <n v="1"/>
    <x v="0"/>
    <n v="0"/>
    <x v="0"/>
    <d v="2026-08-03T18:08:10"/>
    <d v="2026-08-03T18:08:37"/>
    <n v="29"/>
    <n v="1"/>
    <m/>
    <s v="TN"/>
    <s v="KA"/>
    <m/>
  </r>
  <r>
    <s v="C198"/>
    <x v="0"/>
    <n v="8099389567"/>
    <n v="913623755"/>
    <x v="30"/>
    <s v="Pallavi Naik"/>
    <n v="1000000034"/>
    <x v="1"/>
    <n v="1"/>
    <x v="0"/>
    <n v="1"/>
    <n v="1"/>
    <x v="0"/>
    <n v="1"/>
    <x v="0"/>
    <d v="2026-08-03T18:13:42"/>
    <d v="2026-08-03T18:22:49"/>
    <n v="548"/>
    <n v="0"/>
    <n v="3.6"/>
    <s v="KA"/>
    <s v="KA"/>
    <m/>
  </r>
  <r>
    <s v="C199"/>
    <x v="0"/>
    <n v="8099389567"/>
    <n v="885279822"/>
    <x v="4"/>
    <s v="Deepak Saxena"/>
    <n v="1000000029"/>
    <x v="1"/>
    <n v="1"/>
    <x v="0"/>
    <n v="1"/>
    <n v="1"/>
    <x v="0"/>
    <n v="1"/>
    <x v="0"/>
    <d v="2026-08-03T18:26:05"/>
    <d v="2026-08-03T18:27:01"/>
    <n v="57"/>
    <n v="0"/>
    <n v="0.4"/>
    <s v="TN"/>
    <s v="KA"/>
    <m/>
  </r>
  <r>
    <s v="C20"/>
    <x v="0"/>
    <n v="8099389567"/>
    <n v="751414407"/>
    <x v="31"/>
    <s v="Priya Iyer"/>
    <n v="1000000006"/>
    <x v="1"/>
    <n v="1"/>
    <x v="0"/>
    <n v="1"/>
    <n v="1"/>
    <x v="0"/>
    <n v="1"/>
    <x v="1"/>
    <d v="2026-08-02T10:06:27"/>
    <d v="2026-08-02T10:11:44"/>
    <n v="318"/>
    <n v="0"/>
    <n v="2"/>
    <s v="KA"/>
    <s v="KA"/>
    <m/>
  </r>
  <r>
    <s v="C200"/>
    <x v="0"/>
    <n v="8099389567"/>
    <n v="969583290"/>
    <x v="31"/>
    <s v="Sneha Reddy"/>
    <n v="1000000008"/>
    <x v="1"/>
    <n v="1"/>
    <x v="0"/>
    <n v="1"/>
    <n v="1"/>
    <x v="0"/>
    <n v="1"/>
    <x v="0"/>
    <d v="2026-08-03T18:32:54"/>
    <d v="2026-08-03T18:34:12"/>
    <n v="79"/>
    <n v="0"/>
    <n v="0.4"/>
    <s v="AP"/>
    <s v="KA"/>
    <m/>
  </r>
  <r>
    <s v="C201"/>
    <x v="0"/>
    <n v="8099389567"/>
    <n v="588209262"/>
    <x v="14"/>
    <s v="Ishita Gupta"/>
    <n v="1000000016"/>
    <x v="0"/>
    <n v="0"/>
    <x v="0"/>
    <n v="0"/>
    <n v="1"/>
    <x v="0"/>
    <n v="0"/>
    <x v="0"/>
    <d v="2026-08-03T18:32:59"/>
    <d v="2026-08-03T18:33:13"/>
    <n v="15"/>
    <n v="0"/>
    <m/>
    <s v="TN"/>
    <s v="KA"/>
    <m/>
  </r>
  <r>
    <s v="C202"/>
    <x v="0"/>
    <n v="8099389567"/>
    <n v="91868821"/>
    <x v="32"/>
    <s v="Varun Singh"/>
    <n v="1000000015"/>
    <x v="2"/>
    <n v="0"/>
    <x v="0"/>
    <n v="0"/>
    <n v="1"/>
    <x v="0"/>
    <n v="0"/>
    <x v="0"/>
    <d v="2026-08-03T18:43:51"/>
    <d v="2026-08-03T18:44:19"/>
    <n v="29"/>
    <n v="1"/>
    <m/>
    <s v="KA"/>
    <s v="KA"/>
    <m/>
  </r>
  <r>
    <s v="C203"/>
    <x v="0"/>
    <n v="8099389567"/>
    <n v="438896307"/>
    <x v="8"/>
    <s v="Karan Malhotra"/>
    <n v="1000000005"/>
    <x v="1"/>
    <n v="1"/>
    <x v="0"/>
    <n v="1"/>
    <n v="1"/>
    <x v="0"/>
    <n v="1"/>
    <x v="0"/>
    <d v="2026-08-03T18:44:16"/>
    <d v="2026-08-03T18:45:35"/>
    <n v="80"/>
    <n v="0"/>
    <n v="0.4"/>
    <s v="TN"/>
    <s v="KA"/>
    <m/>
  </r>
  <r>
    <s v="C204"/>
    <x v="0"/>
    <n v="8099389567"/>
    <n v="420981929"/>
    <x v="13"/>
    <s v="Divya Sethi"/>
    <n v="1000000022"/>
    <x v="0"/>
    <n v="0"/>
    <x v="0"/>
    <n v="0"/>
    <n v="1"/>
    <x v="0"/>
    <n v="0"/>
    <x v="0"/>
    <d v="2026-08-03T18:50:10"/>
    <d v="2026-08-03T18:50:27"/>
    <n v="17"/>
    <n v="0"/>
    <m/>
    <s v="KA"/>
    <s v="KA"/>
    <m/>
  </r>
  <r>
    <s v="C205"/>
    <x v="0"/>
    <n v="8099389567"/>
    <n v="113927933"/>
    <x v="15"/>
    <s v="Riya Mehta"/>
    <n v="1000000002"/>
    <x v="0"/>
    <n v="0"/>
    <x v="0"/>
    <n v="0"/>
    <n v="1"/>
    <x v="0"/>
    <n v="0"/>
    <x v="0"/>
    <d v="2026-08-03T19:19:06"/>
    <d v="2026-08-03T19:19:13"/>
    <n v="7"/>
    <n v="0"/>
    <m/>
    <s v="KA"/>
    <s v="KA"/>
    <m/>
  </r>
  <r>
    <s v="C206"/>
    <x v="0"/>
    <n v="8099389567"/>
    <n v="147270406"/>
    <x v="17"/>
    <s v="Nisha Shetty"/>
    <n v="1000000038"/>
    <x v="2"/>
    <n v="0"/>
    <x v="0"/>
    <n v="0"/>
    <n v="1"/>
    <x v="0"/>
    <n v="0"/>
    <x v="0"/>
    <d v="2026-08-03T19:27:06"/>
    <d v="2026-08-03T19:28:24"/>
    <n v="79"/>
    <n v="1"/>
    <m/>
    <s v="TN"/>
    <s v="KA"/>
    <m/>
  </r>
  <r>
    <s v="C207"/>
    <x v="0"/>
    <n v="8099389567"/>
    <n v="720428047"/>
    <x v="28"/>
    <s v="Kriti Dutta"/>
    <n v="1000000036"/>
    <x v="2"/>
    <n v="0"/>
    <x v="0"/>
    <n v="0"/>
    <n v="1"/>
    <x v="0"/>
    <n v="0"/>
    <x v="0"/>
    <d v="2026-08-03T23:22:38"/>
    <d v="2026-08-03T23:23:25"/>
    <n v="47"/>
    <n v="1"/>
    <m/>
    <s v="AP"/>
    <s v="KA"/>
    <m/>
  </r>
  <r>
    <s v="C208"/>
    <x v="0"/>
    <n v="8099389567"/>
    <n v="773275153"/>
    <x v="22"/>
    <s v="Varun Singh"/>
    <n v="1000000015"/>
    <x v="2"/>
    <n v="0"/>
    <x v="0"/>
    <n v="0"/>
    <n v="1"/>
    <x v="0"/>
    <n v="0"/>
    <x v="2"/>
    <d v="2026-08-04T07:25:56"/>
    <d v="2026-08-04T07:26:23"/>
    <n v="28"/>
    <n v="1"/>
    <m/>
    <s v="RJ"/>
    <s v="KA"/>
    <m/>
  </r>
  <r>
    <s v="C209"/>
    <x v="0"/>
    <n v="8099389567"/>
    <n v="661813281"/>
    <x v="10"/>
    <s v="Nisha Shetty"/>
    <n v="1000000038"/>
    <x v="0"/>
    <n v="0"/>
    <x v="0"/>
    <n v="0"/>
    <n v="1"/>
    <x v="0"/>
    <n v="0"/>
    <x v="2"/>
    <d v="2026-08-04T10:11:26"/>
    <d v="2026-08-04T10:11:31"/>
    <n v="2"/>
    <n v="0"/>
    <m/>
    <s v="KA"/>
    <s v="KA"/>
    <m/>
  </r>
  <r>
    <s v="C21"/>
    <x v="0"/>
    <n v="8099389567"/>
    <n v="816841081"/>
    <x v="33"/>
    <s v="Nisha Shetty"/>
    <n v="1000000038"/>
    <x v="1"/>
    <n v="1"/>
    <x v="0"/>
    <n v="1"/>
    <n v="1"/>
    <x v="0"/>
    <n v="1"/>
    <x v="1"/>
    <d v="2026-08-02T10:14:21"/>
    <d v="2026-08-02T10:21:22"/>
    <n v="422"/>
    <n v="0"/>
    <n v="2.8"/>
    <s v="KA"/>
    <s v="KA"/>
    <m/>
  </r>
  <r>
    <s v="C210"/>
    <x v="0"/>
    <n v="8099389567"/>
    <n v="946810736"/>
    <x v="27"/>
    <s v="Varun Singh"/>
    <n v="1000000015"/>
    <x v="1"/>
    <n v="1"/>
    <x v="0"/>
    <n v="1"/>
    <n v="1"/>
    <x v="0"/>
    <n v="1"/>
    <x v="2"/>
    <d v="2026-08-04T10:11:37"/>
    <d v="2026-08-04T10:12:38"/>
    <n v="62"/>
    <n v="0"/>
    <n v="0.4"/>
    <s v="KA"/>
    <s v="KA"/>
    <m/>
  </r>
  <r>
    <s v="C211"/>
    <x v="0"/>
    <n v="8099389567"/>
    <n v="482395652"/>
    <x v="0"/>
    <s v="Aarav Sharma"/>
    <n v="1000000001"/>
    <x v="1"/>
    <n v="1"/>
    <x v="0"/>
    <n v="1"/>
    <n v="1"/>
    <x v="0"/>
    <n v="1"/>
    <x v="2"/>
    <d v="2026-08-04T10:45:21"/>
    <d v="2026-08-04T10:53:05"/>
    <n v="465"/>
    <n v="0"/>
    <n v="3.2"/>
    <s v="KA"/>
    <s v="KA"/>
    <m/>
  </r>
  <r>
    <s v="C212"/>
    <x v="0"/>
    <n v="8099389567"/>
    <n v="219980597"/>
    <x v="26"/>
    <s v="Karan Malhotra"/>
    <n v="1000000005"/>
    <x v="1"/>
    <n v="1"/>
    <x v="0"/>
    <n v="1"/>
    <n v="1"/>
    <x v="0"/>
    <n v="1"/>
    <x v="2"/>
    <d v="2026-08-04T11:22:27"/>
    <d v="2026-08-04T11:23:16"/>
    <n v="50"/>
    <n v="0"/>
    <n v="0.4"/>
    <s v="KA"/>
    <s v="KA"/>
    <m/>
  </r>
  <r>
    <s v="C213"/>
    <x v="0"/>
    <n v="8099389567"/>
    <n v="476905894"/>
    <x v="6"/>
    <s v="Ananya Nair"/>
    <n v="1000000004"/>
    <x v="1"/>
    <n v="1"/>
    <x v="0"/>
    <n v="1"/>
    <n v="1"/>
    <x v="0"/>
    <n v="1"/>
    <x v="2"/>
    <d v="2026-08-04T11:51:55"/>
    <d v="2026-08-04T11:52:42"/>
    <n v="48"/>
    <n v="0"/>
    <n v="0.4"/>
    <s v="KA"/>
    <s v="KA"/>
    <m/>
  </r>
  <r>
    <s v="C215"/>
    <x v="0"/>
    <n v="8099389567"/>
    <n v="938686844"/>
    <x v="28"/>
    <s v="Karan Malhotra"/>
    <n v="1000000005"/>
    <x v="1"/>
    <n v="1"/>
    <x v="0"/>
    <n v="1"/>
    <n v="1"/>
    <x v="0"/>
    <n v="1"/>
    <x v="2"/>
    <d v="2026-08-04T12:32:53"/>
    <d v="2026-08-04T12:48:18"/>
    <n v="926"/>
    <n v="0"/>
    <n v="6"/>
    <s v="KA"/>
    <s v="KA"/>
    <m/>
  </r>
  <r>
    <s v="C216"/>
    <x v="0"/>
    <n v="8099389567"/>
    <n v="873030586"/>
    <x v="24"/>
    <s v="Vikram Patel"/>
    <n v="1000000003"/>
    <x v="2"/>
    <n v="0"/>
    <x v="0"/>
    <n v="0"/>
    <n v="1"/>
    <x v="0"/>
    <n v="0"/>
    <x v="2"/>
    <d v="2026-08-04T12:39:49"/>
    <d v="2026-08-04T12:41:25"/>
    <n v="96"/>
    <n v="1"/>
    <m/>
    <s v="TN"/>
    <s v="KA"/>
    <m/>
  </r>
  <r>
    <s v="C219"/>
    <x v="0"/>
    <n v="8099389567"/>
    <n v="584995501"/>
    <x v="22"/>
    <s v="Gaurav Bansal"/>
    <n v="1000000033"/>
    <x v="1"/>
    <n v="1"/>
    <x v="0"/>
    <n v="1"/>
    <n v="1"/>
    <x v="0"/>
    <n v="1"/>
    <x v="2"/>
    <d v="2026-08-04T13:48:09"/>
    <d v="2026-08-04T13:56:19"/>
    <n v="490"/>
    <n v="0"/>
    <n v="3.2"/>
    <s v="MP"/>
    <s v="KA"/>
    <m/>
  </r>
  <r>
    <s v="C223"/>
    <x v="0"/>
    <n v="8099389567"/>
    <n v="492252933"/>
    <x v="1"/>
    <s v="Pooja Shah"/>
    <n v="1000000014"/>
    <x v="2"/>
    <n v="0"/>
    <x v="0"/>
    <n v="0"/>
    <n v="1"/>
    <x v="0"/>
    <n v="0"/>
    <x v="2"/>
    <d v="2026-08-04T14:21:50"/>
    <d v="2026-08-04T14:22:41"/>
    <n v="53"/>
    <n v="1"/>
    <m/>
    <s v="MP"/>
    <s v="KA"/>
    <m/>
  </r>
  <r>
    <s v="C224"/>
    <x v="0"/>
    <n v="8099389567"/>
    <n v="819229435"/>
    <x v="31"/>
    <s v="Amit Khanna"/>
    <n v="1000000035"/>
    <x v="2"/>
    <n v="0"/>
    <x v="0"/>
    <n v="0"/>
    <n v="1"/>
    <x v="0"/>
    <n v="0"/>
    <x v="2"/>
    <d v="2026-08-04T14:40:11"/>
    <d v="2026-08-04T14:41:36"/>
    <n v="86"/>
    <n v="1"/>
    <m/>
    <s v="MP"/>
    <s v="KA"/>
    <m/>
  </r>
  <r>
    <s v="C228"/>
    <x v="0"/>
    <n v="8099389567"/>
    <n v="259539026"/>
    <x v="27"/>
    <s v="Abhishek Roy"/>
    <n v="1000000031"/>
    <x v="1"/>
    <n v="1"/>
    <x v="0"/>
    <n v="1"/>
    <n v="1"/>
    <x v="0"/>
    <n v="1"/>
    <x v="2"/>
    <d v="2026-08-04T16:05:21"/>
    <d v="2026-08-04T16:06:22"/>
    <n v="62"/>
    <n v="0"/>
    <n v="0.4"/>
    <s v="KA"/>
    <s v="KA"/>
    <m/>
  </r>
  <r>
    <s v="C235"/>
    <x v="0"/>
    <n v="8099389567"/>
    <n v="38108562"/>
    <x v="34"/>
    <s v="Simran Kaur"/>
    <n v="1000000028"/>
    <x v="1"/>
    <n v="1"/>
    <x v="0"/>
    <n v="1"/>
    <n v="1"/>
    <x v="0"/>
    <n v="1"/>
    <x v="2"/>
    <d v="2026-08-04T16:54:38"/>
    <d v="2026-08-04T17:03:24"/>
    <n v="526"/>
    <n v="0"/>
    <n v="3.2"/>
    <s v="KA"/>
    <s v="KA"/>
    <m/>
  </r>
  <r>
    <s v="C243"/>
    <x v="0"/>
    <n v="8099389567"/>
    <n v="489892706"/>
    <x v="0"/>
    <s v="Aditi Ghosh"/>
    <n v="1000000026"/>
    <x v="1"/>
    <n v="1"/>
    <x v="0"/>
    <n v="1"/>
    <n v="1"/>
    <x v="0"/>
    <n v="1"/>
    <x v="2"/>
    <d v="2026-08-04T17:36:14"/>
    <d v="2026-08-04T17:49:31"/>
    <n v="799"/>
    <n v="0"/>
    <n v="5.2"/>
    <s v="KA"/>
    <s v="KA"/>
    <m/>
  </r>
  <r>
    <s v="C244"/>
    <x v="0"/>
    <n v="8099389567"/>
    <n v="266912191"/>
    <x v="35"/>
    <s v="Divya Sethi"/>
    <n v="1000000022"/>
    <x v="1"/>
    <n v="1"/>
    <x v="0"/>
    <n v="1"/>
    <n v="1"/>
    <x v="0"/>
    <n v="1"/>
    <x v="2"/>
    <d v="2026-08-04T17:41:56"/>
    <d v="2026-08-04T17:49:04"/>
    <n v="429"/>
    <n v="0"/>
    <n v="2.8"/>
    <s v="KA"/>
    <s v="KA"/>
    <m/>
  </r>
  <r>
    <s v="C246"/>
    <x v="0"/>
    <n v="8099389567"/>
    <n v="574911083"/>
    <x v="23"/>
    <s v="Ishita Gupta"/>
    <n v="1000000016"/>
    <x v="1"/>
    <n v="1"/>
    <x v="0"/>
    <n v="1"/>
    <n v="1"/>
    <x v="0"/>
    <n v="1"/>
    <x v="2"/>
    <d v="2026-08-04T18:05:01"/>
    <d v="2026-08-04T18:26:32"/>
    <n v="1292"/>
    <n v="0"/>
    <n v="4.4000000000000004"/>
    <s v="KA"/>
    <s v="KA"/>
    <m/>
  </r>
  <r>
    <s v="C25"/>
    <x v="0"/>
    <n v="8099389567"/>
    <n v="799404284"/>
    <x v="24"/>
    <s v="Priya Iyer"/>
    <n v="1000000006"/>
    <x v="1"/>
    <n v="1"/>
    <x v="0"/>
    <n v="1"/>
    <n v="1"/>
    <x v="0"/>
    <n v="1"/>
    <x v="1"/>
    <d v="2026-08-02T10:37:42"/>
    <d v="2026-08-02T11:03:06"/>
    <n v="1526"/>
    <n v="0"/>
    <n v="10"/>
    <s v="KA"/>
    <s v="KA"/>
    <m/>
  </r>
  <r>
    <s v="C250"/>
    <x v="0"/>
    <n v="8099389567"/>
    <n v="411445559"/>
    <x v="31"/>
    <s v="Deepak Saxena"/>
    <n v="1000000029"/>
    <x v="1"/>
    <n v="1"/>
    <x v="0"/>
    <n v="1"/>
    <n v="1"/>
    <x v="0"/>
    <n v="1"/>
    <x v="2"/>
    <d v="2026-08-04T18:13:19"/>
    <d v="2026-08-04T18:18:58"/>
    <n v="340"/>
    <n v="0"/>
    <n v="2.4"/>
    <s v="KA"/>
    <s v="KA"/>
    <m/>
  </r>
  <r>
    <s v="C252"/>
    <x v="0"/>
    <n v="8099389567"/>
    <n v="420715001"/>
    <x v="29"/>
    <s v="Simran Kaur"/>
    <n v="1000000028"/>
    <x v="1"/>
    <n v="1"/>
    <x v="0"/>
    <n v="1"/>
    <n v="1"/>
    <x v="0"/>
    <n v="1"/>
    <x v="2"/>
    <d v="2026-08-04T18:26:40"/>
    <d v="2026-08-04T18:38:06"/>
    <n v="686"/>
    <n v="0"/>
    <n v="4.4000000000000004"/>
    <s v="KA"/>
    <s v="KA"/>
    <m/>
  </r>
  <r>
    <s v="C253"/>
    <x v="0"/>
    <n v="8099389567"/>
    <n v="8301427"/>
    <x v="10"/>
    <s v="Kavya Menon"/>
    <n v="1000000012"/>
    <x v="0"/>
    <n v="0"/>
    <x v="0"/>
    <n v="0"/>
    <n v="1"/>
    <x v="0"/>
    <n v="0"/>
    <x v="2"/>
    <d v="2026-08-04T18:44:27"/>
    <d v="2026-08-04T18:44:41"/>
    <n v="16"/>
    <n v="0"/>
    <m/>
    <s v="KA"/>
    <s v="KA"/>
    <m/>
  </r>
  <r>
    <s v="C254"/>
    <x v="0"/>
    <n v="8099389567"/>
    <n v="671261832"/>
    <x v="1"/>
    <s v="Tanvi Kulkarni"/>
    <n v="1000000018"/>
    <x v="1"/>
    <n v="1"/>
    <x v="0"/>
    <n v="1"/>
    <n v="1"/>
    <x v="0"/>
    <n v="1"/>
    <x v="2"/>
    <d v="2026-08-04T18:53:40"/>
    <d v="2026-08-04T19:01:36"/>
    <n v="477"/>
    <n v="0"/>
    <n v="2.8"/>
    <s v="KA"/>
    <s v="KA"/>
    <m/>
  </r>
  <r>
    <s v="C255"/>
    <x v="0"/>
    <n v="8099389567"/>
    <n v="769585344"/>
    <x v="14"/>
    <s v="Nandini Bose"/>
    <n v="1000000030"/>
    <x v="1"/>
    <n v="1"/>
    <x v="0"/>
    <n v="1"/>
    <n v="1"/>
    <x v="0"/>
    <n v="1"/>
    <x v="2"/>
    <d v="2026-08-04T19:13:31"/>
    <d v="2026-08-04T19:14:37"/>
    <n v="67"/>
    <n v="0"/>
    <n v="0.4"/>
    <s v="KA"/>
    <s v="KA"/>
    <m/>
  </r>
  <r>
    <s v="C258"/>
    <x v="0"/>
    <n v="8099389567"/>
    <n v="616911945"/>
    <x v="36"/>
    <s v="Deepak Saxena"/>
    <n v="1000000029"/>
    <x v="1"/>
    <n v="1"/>
    <x v="0"/>
    <n v="1"/>
    <n v="1"/>
    <x v="0"/>
    <n v="1"/>
    <x v="2"/>
    <d v="2026-08-04T19:37:49"/>
    <d v="2026-08-04T19:39:52"/>
    <n v="124"/>
    <n v="0"/>
    <n v="0.4"/>
    <s v="KA"/>
    <s v="KA"/>
    <m/>
  </r>
  <r>
    <s v="C259"/>
    <x v="0"/>
    <n v="8099389567"/>
    <n v="857100076"/>
    <x v="14"/>
    <s v="Kriti Dutta"/>
    <n v="1000000036"/>
    <x v="1"/>
    <n v="1"/>
    <x v="0"/>
    <n v="1"/>
    <n v="1"/>
    <x v="0"/>
    <n v="1"/>
    <x v="2"/>
    <d v="2026-08-04T19:56:56"/>
    <d v="2026-08-04T20:13:01"/>
    <n v="966"/>
    <n v="0"/>
    <n v="6"/>
    <s v="KA"/>
    <s v="KA"/>
    <m/>
  </r>
  <r>
    <s v="C26"/>
    <x v="0"/>
    <n v="8099389567"/>
    <n v="913319262"/>
    <x v="5"/>
    <s v="Pooja Shah"/>
    <n v="1000000014"/>
    <x v="0"/>
    <n v="0"/>
    <x v="0"/>
    <n v="0"/>
    <n v="1"/>
    <x v="0"/>
    <n v="0"/>
    <x v="1"/>
    <d v="2026-08-02T10:39:28"/>
    <d v="2026-08-02T10:39:46"/>
    <n v="19"/>
    <n v="0"/>
    <m/>
    <s v="KA"/>
    <s v="KA"/>
    <m/>
  </r>
  <r>
    <s v="C260"/>
    <x v="0"/>
    <n v="8099389567"/>
    <n v="87299898"/>
    <x v="31"/>
    <s v="Rahul Verma"/>
    <n v="1000000007"/>
    <x v="1"/>
    <n v="1"/>
    <x v="0"/>
    <n v="1"/>
    <n v="1"/>
    <x v="0"/>
    <n v="1"/>
    <x v="2"/>
    <d v="2026-08-04T21:14:44"/>
    <d v="2026-08-04T21:18:30"/>
    <n v="226"/>
    <n v="0"/>
    <n v="1.6"/>
    <s v="KA"/>
    <s v="KA"/>
    <m/>
  </r>
  <r>
    <s v="C261"/>
    <x v="0"/>
    <n v="8099389567"/>
    <n v="949454801"/>
    <x v="2"/>
    <s v="Ananya Nair"/>
    <n v="1000000004"/>
    <x v="0"/>
    <n v="0"/>
    <x v="0"/>
    <n v="0"/>
    <n v="1"/>
    <x v="0"/>
    <n v="0"/>
    <x v="2"/>
    <d v="2026-08-04T23:39:08"/>
    <d v="2026-08-04T23:39:16"/>
    <n v="8"/>
    <n v="0"/>
    <m/>
    <s v="HR"/>
    <s v="KA"/>
    <m/>
  </r>
  <r>
    <s v="C262"/>
    <x v="0"/>
    <n v="8099389567"/>
    <n v="443662717"/>
    <x v="16"/>
    <s v="Amit Khanna"/>
    <n v="1000000035"/>
    <x v="0"/>
    <n v="0"/>
    <x v="0"/>
    <n v="0"/>
    <n v="1"/>
    <x v="0"/>
    <n v="0"/>
    <x v="3"/>
    <d v="2026-08-05T10:36:27"/>
    <d v="2026-08-05T10:36:48"/>
    <n v="24"/>
    <n v="0"/>
    <m/>
    <s v="KA"/>
    <s v="KA"/>
    <m/>
  </r>
  <r>
    <s v="C263"/>
    <x v="0"/>
    <n v="8099389567"/>
    <n v="232227603"/>
    <x v="31"/>
    <s v="Aarav Sharma"/>
    <n v="1000000001"/>
    <x v="1"/>
    <n v="1"/>
    <x v="0"/>
    <n v="1"/>
    <n v="1"/>
    <x v="0"/>
    <n v="1"/>
    <x v="3"/>
    <d v="2026-08-05T11:08:06"/>
    <d v="2026-08-05T11:16:01"/>
    <n v="477"/>
    <n v="0"/>
    <n v="3.2"/>
    <s v="KA"/>
    <s v="KA"/>
    <m/>
  </r>
  <r>
    <s v="C264"/>
    <x v="0"/>
    <n v="8099389567"/>
    <n v="811477450"/>
    <x v="37"/>
    <s v="Priya Iyer"/>
    <n v="1000000006"/>
    <x v="0"/>
    <n v="0"/>
    <x v="0"/>
    <n v="0"/>
    <n v="1"/>
    <x v="0"/>
    <n v="0"/>
    <x v="3"/>
    <d v="2026-08-05T11:29:14"/>
    <d v="2026-08-05T11:29:22"/>
    <n v="8"/>
    <n v="0"/>
    <m/>
    <s v="UE"/>
    <s v="KA"/>
    <m/>
  </r>
  <r>
    <s v="C265"/>
    <x v="0"/>
    <n v="8099389567"/>
    <n v="924776704"/>
    <x v="18"/>
    <s v="Ishita Gupta"/>
    <n v="1000000016"/>
    <x v="0"/>
    <n v="0"/>
    <x v="0"/>
    <n v="0"/>
    <n v="1"/>
    <x v="0"/>
    <n v="0"/>
    <x v="3"/>
    <d v="2026-08-05T11:37:54"/>
    <d v="2026-08-05T11:37:57"/>
    <n v="4"/>
    <n v="0"/>
    <m/>
    <s v="KA"/>
    <s v="KA"/>
    <m/>
  </r>
  <r>
    <s v="C266"/>
    <x v="0"/>
    <n v="8099389567"/>
    <n v="577932950"/>
    <x v="23"/>
    <s v="Arjun Kapoor"/>
    <n v="1000000011"/>
    <x v="0"/>
    <n v="0"/>
    <x v="0"/>
    <n v="0"/>
    <n v="1"/>
    <x v="0"/>
    <n v="0"/>
    <x v="3"/>
    <d v="2026-08-05T11:53:05"/>
    <d v="2026-08-05T11:53:15"/>
    <n v="11"/>
    <n v="0"/>
    <m/>
    <s v="KA"/>
    <s v="KA"/>
    <m/>
  </r>
  <r>
    <s v="C267"/>
    <x v="0"/>
    <n v="8099389567"/>
    <n v="278610949"/>
    <x v="17"/>
    <s v="Vivek Chawla"/>
    <n v="1000000027"/>
    <x v="1"/>
    <n v="1"/>
    <x v="0"/>
    <n v="1"/>
    <n v="1"/>
    <x v="0"/>
    <n v="1"/>
    <x v="3"/>
    <d v="2026-08-05T12:02:54"/>
    <d v="2026-08-05T12:04:16"/>
    <n v="83"/>
    <n v="0"/>
    <n v="0.4"/>
    <s v="KA"/>
    <s v="KA"/>
    <m/>
  </r>
  <r>
    <s v="C268"/>
    <x v="0"/>
    <n v="8099389567"/>
    <n v="304740584"/>
    <x v="26"/>
    <s v="Sakshi Desai"/>
    <n v="1000000032"/>
    <x v="0"/>
    <n v="0"/>
    <x v="0"/>
    <n v="0"/>
    <n v="1"/>
    <x v="0"/>
    <n v="0"/>
    <x v="3"/>
    <d v="2026-08-05T12:05:23"/>
    <d v="2026-08-05T12:05:27"/>
    <n v="4"/>
    <n v="0"/>
    <m/>
    <s v="UE"/>
    <s v="KA"/>
    <m/>
  </r>
  <r>
    <s v="C269"/>
    <x v="0"/>
    <n v="8099389567"/>
    <n v="866730538"/>
    <x v="38"/>
    <s v="Abhishek Roy"/>
    <n v="1000000031"/>
    <x v="1"/>
    <n v="1"/>
    <x v="0"/>
    <n v="1"/>
    <n v="1"/>
    <x v="0"/>
    <n v="1"/>
    <x v="3"/>
    <d v="2026-08-05T12:05:24"/>
    <d v="2026-08-05T12:16:33"/>
    <n v="670"/>
    <n v="0"/>
    <n v="4.4000000000000004"/>
    <s v="KA"/>
    <s v="KA"/>
    <m/>
  </r>
  <r>
    <s v="C270"/>
    <x v="0"/>
    <n v="8099389567"/>
    <n v="237128316"/>
    <x v="39"/>
    <s v="Pooja Shah"/>
    <n v="1000000014"/>
    <x v="1"/>
    <n v="1"/>
    <x v="0"/>
    <n v="1"/>
    <n v="1"/>
    <x v="0"/>
    <n v="1"/>
    <x v="3"/>
    <d v="2026-08-05T12:06:24"/>
    <d v="2026-08-05T12:09:16"/>
    <n v="173"/>
    <n v="0"/>
    <n v="1.2"/>
    <s v="KA"/>
    <s v="KA"/>
    <m/>
  </r>
  <r>
    <s v="C271"/>
    <x v="0"/>
    <n v="8099389567"/>
    <n v="750485401"/>
    <x v="19"/>
    <s v="Aditi Ghosh"/>
    <n v="1000000026"/>
    <x v="0"/>
    <n v="0"/>
    <x v="0"/>
    <n v="0"/>
    <n v="1"/>
    <x v="0"/>
    <n v="0"/>
    <x v="3"/>
    <d v="2026-08-05T12:17:49"/>
    <d v="2026-08-05T12:17:58"/>
    <n v="9"/>
    <n v="0"/>
    <m/>
    <s v="WB"/>
    <s v="KA"/>
    <m/>
  </r>
  <r>
    <s v="C272"/>
    <x v="0"/>
    <n v="8099389567"/>
    <n v="49249397"/>
    <x v="38"/>
    <s v="Ananya Nair"/>
    <n v="1000000004"/>
    <x v="0"/>
    <n v="0"/>
    <x v="0"/>
    <n v="0"/>
    <n v="1"/>
    <x v="0"/>
    <n v="0"/>
    <x v="3"/>
    <d v="2026-08-05T12:19:05"/>
    <d v="2026-08-05T12:19:15"/>
    <n v="10"/>
    <n v="0"/>
    <m/>
    <s v="WB"/>
    <s v="KA"/>
    <m/>
  </r>
  <r>
    <s v="C273"/>
    <x v="0"/>
    <n v="8099389567"/>
    <n v="917351347"/>
    <x v="18"/>
    <s v="Arjun Kapoor"/>
    <n v="1000000011"/>
    <x v="0"/>
    <n v="0"/>
    <x v="0"/>
    <n v="0"/>
    <n v="1"/>
    <x v="0"/>
    <n v="0"/>
    <x v="3"/>
    <d v="2026-08-05T12:33:04"/>
    <d v="2026-08-05T12:32:59"/>
    <n v="2"/>
    <n v="0"/>
    <m/>
    <s v="UE"/>
    <s v="KA"/>
    <m/>
  </r>
  <r>
    <s v="C274"/>
    <x v="0"/>
    <n v="8099389567"/>
    <n v="266303402"/>
    <x v="37"/>
    <s v="Manish Arora"/>
    <n v="1000000025"/>
    <x v="0"/>
    <n v="0"/>
    <x v="0"/>
    <n v="0"/>
    <n v="1"/>
    <x v="0"/>
    <n v="0"/>
    <x v="3"/>
    <d v="2026-08-05T13:44:27"/>
    <d v="2026-08-05T13:44:29"/>
    <n v="3"/>
    <n v="0"/>
    <m/>
    <s v="KA"/>
    <s v="KA"/>
    <m/>
  </r>
  <r>
    <s v="C275"/>
    <x v="0"/>
    <n v="8099389567"/>
    <n v="124879780"/>
    <x v="37"/>
    <s v="Aarav Sharma"/>
    <n v="1000000001"/>
    <x v="0"/>
    <n v="0"/>
    <x v="0"/>
    <n v="0"/>
    <n v="1"/>
    <x v="0"/>
    <n v="0"/>
    <x v="3"/>
    <d v="2026-08-05T13:52:07"/>
    <d v="2026-08-05T13:52:16"/>
    <n v="10"/>
    <n v="0"/>
    <m/>
    <s v="KA"/>
    <s v="KA"/>
    <m/>
  </r>
  <r>
    <s v="C278"/>
    <x v="0"/>
    <n v="8099389567"/>
    <n v="588549332"/>
    <x v="22"/>
    <s v="Nandini Bose"/>
    <n v="1000000030"/>
    <x v="0"/>
    <n v="0"/>
    <x v="0"/>
    <n v="0"/>
    <n v="1"/>
    <x v="0"/>
    <n v="0"/>
    <x v="3"/>
    <d v="2026-08-05T14:04:09"/>
    <d v="2026-08-05T14:04:22"/>
    <n v="14"/>
    <n v="0"/>
    <m/>
    <s v="MU"/>
    <s v="KA"/>
    <m/>
  </r>
  <r>
    <s v="C28"/>
    <x v="0"/>
    <n v="8099389567"/>
    <n v="172121746"/>
    <x v="16"/>
    <s v="Gaurav Bansal"/>
    <n v="1000000033"/>
    <x v="1"/>
    <n v="1"/>
    <x v="0"/>
    <n v="1"/>
    <n v="1"/>
    <x v="0"/>
    <n v="1"/>
    <x v="1"/>
    <d v="2026-08-02T11:19:17"/>
    <d v="2026-08-02T11:39:09"/>
    <n v="1193"/>
    <n v="0"/>
    <n v="8"/>
    <s v="KA"/>
    <s v="KA"/>
    <m/>
  </r>
  <r>
    <s v="C281"/>
    <x v="0"/>
    <n v="8099389567"/>
    <n v="227053758"/>
    <x v="16"/>
    <s v="Kriti Dutta"/>
    <n v="1000000036"/>
    <x v="1"/>
    <n v="1"/>
    <x v="0"/>
    <n v="1"/>
    <n v="1"/>
    <x v="0"/>
    <n v="1"/>
    <x v="3"/>
    <d v="2026-08-05T14:12:39"/>
    <d v="2026-08-05T14:14:03"/>
    <n v="85"/>
    <n v="0"/>
    <n v="0.4"/>
    <s v="MU"/>
    <s v="KA"/>
    <m/>
  </r>
  <r>
    <s v="C283"/>
    <x v="0"/>
    <n v="8099389567"/>
    <n v="106635590"/>
    <x v="34"/>
    <s v="Meera Joshi"/>
    <n v="1000000010"/>
    <x v="2"/>
    <n v="0"/>
    <x v="0"/>
    <n v="0"/>
    <n v="1"/>
    <x v="0"/>
    <n v="0"/>
    <x v="3"/>
    <d v="2026-08-05T14:33:11"/>
    <d v="2026-08-05T14:33:47"/>
    <n v="38"/>
    <n v="1"/>
    <m/>
    <s v="MP"/>
    <s v="KA"/>
    <m/>
  </r>
  <r>
    <s v="C284"/>
    <x v="0"/>
    <n v="8099389567"/>
    <n v="532967169"/>
    <x v="38"/>
    <s v="Nikhil Jain"/>
    <n v="1000000013"/>
    <x v="0"/>
    <n v="0"/>
    <x v="0"/>
    <n v="0"/>
    <n v="1"/>
    <x v="0"/>
    <n v="0"/>
    <x v="3"/>
    <d v="2026-08-05T14:33:50"/>
    <d v="2026-08-05T14:33:52"/>
    <n v="3"/>
    <n v="0"/>
    <m/>
    <s v="MP"/>
    <s v="KA"/>
    <m/>
  </r>
  <r>
    <s v="C285"/>
    <x v="0"/>
    <n v="8099389567"/>
    <n v="596056386"/>
    <x v="6"/>
    <s v="Siddharth Mishra"/>
    <n v="1000000019"/>
    <x v="0"/>
    <n v="0"/>
    <x v="0"/>
    <n v="0"/>
    <n v="1"/>
    <x v="0"/>
    <n v="0"/>
    <x v="3"/>
    <d v="2026-08-05T15:02:53"/>
    <d v="2026-08-05T15:02:56"/>
    <n v="4"/>
    <n v="0"/>
    <m/>
    <s v="KA"/>
    <s v="KA"/>
    <m/>
  </r>
  <r>
    <s v="C293"/>
    <x v="0"/>
    <n v="8099389567"/>
    <n v="900613067"/>
    <x v="23"/>
    <s v="Ananya Nair"/>
    <n v="1000000004"/>
    <x v="1"/>
    <n v="1"/>
    <x v="0"/>
    <n v="1"/>
    <n v="1"/>
    <x v="0"/>
    <n v="1"/>
    <x v="3"/>
    <d v="2026-08-05T16:10:12"/>
    <d v="2026-08-05T16:19:32"/>
    <n v="563"/>
    <n v="0"/>
    <n v="3.6"/>
    <s v="KA"/>
    <s v="KA"/>
    <m/>
  </r>
  <r>
    <s v="C294"/>
    <x v="0"/>
    <n v="8099389567"/>
    <n v="479161242"/>
    <x v="38"/>
    <s v="Nisha Shetty"/>
    <n v="1000000038"/>
    <x v="1"/>
    <n v="1"/>
    <x v="0"/>
    <n v="1"/>
    <n v="1"/>
    <x v="0"/>
    <n v="1"/>
    <x v="3"/>
    <d v="2026-08-05T16:19:37"/>
    <d v="2026-08-05T16:26:49"/>
    <n v="433"/>
    <n v="0"/>
    <n v="2.4"/>
    <s v="KA"/>
    <s v="KA"/>
    <m/>
  </r>
  <r>
    <s v="C295"/>
    <x v="0"/>
    <n v="8099389567"/>
    <n v="534167917"/>
    <x v="33"/>
    <s v="Abhishek Roy"/>
    <n v="1000000031"/>
    <x v="1"/>
    <n v="1"/>
    <x v="0"/>
    <n v="1"/>
    <n v="1"/>
    <x v="0"/>
    <n v="1"/>
    <x v="3"/>
    <d v="2026-08-05T16:26:56"/>
    <d v="2026-08-05T16:40:08"/>
    <n v="794"/>
    <n v="0"/>
    <n v="5.2"/>
    <s v="KA"/>
    <s v="KA"/>
    <m/>
  </r>
  <r>
    <s v="C298"/>
    <x v="0"/>
    <n v="8099389567"/>
    <n v="623566899"/>
    <x v="33"/>
    <s v="Arjun Kapoor"/>
    <n v="1000000011"/>
    <x v="1"/>
    <n v="1"/>
    <x v="0"/>
    <n v="1"/>
    <n v="1"/>
    <x v="0"/>
    <n v="1"/>
    <x v="3"/>
    <d v="2026-08-05T16:42:02"/>
    <d v="2026-08-05T16:57:30"/>
    <n v="940"/>
    <n v="0"/>
    <n v="6"/>
    <s v="KA"/>
    <s v="KA"/>
    <m/>
  </r>
  <r>
    <s v="C30"/>
    <x v="0"/>
    <n v="8099389567"/>
    <n v="127227937"/>
    <x v="17"/>
    <s v="Riya Mehta"/>
    <n v="1000000002"/>
    <x v="1"/>
    <n v="1"/>
    <x v="0"/>
    <n v="1"/>
    <n v="1"/>
    <x v="0"/>
    <n v="1"/>
    <x v="1"/>
    <d v="2026-08-02T11:20:31"/>
    <d v="2026-08-02T11:32:53"/>
    <n v="743"/>
    <n v="0"/>
    <n v="4.8"/>
    <s v="KA"/>
    <s v="KA"/>
    <m/>
  </r>
  <r>
    <s v="C301"/>
    <x v="0"/>
    <n v="8099389567"/>
    <n v="169281669"/>
    <x v="19"/>
    <s v="Priya Iyer"/>
    <n v="1000000006"/>
    <x v="1"/>
    <n v="1"/>
    <x v="0"/>
    <n v="1"/>
    <n v="1"/>
    <x v="0"/>
    <n v="1"/>
    <x v="3"/>
    <d v="2026-08-05T17:08:11"/>
    <d v="2026-08-05T17:09:38"/>
    <n v="87"/>
    <n v="0"/>
    <n v="0.4"/>
    <s v="KA"/>
    <s v="KA"/>
    <m/>
  </r>
  <r>
    <s v="C305"/>
    <x v="0"/>
    <n v="8099389567"/>
    <n v="717336805"/>
    <x v="19"/>
    <s v="Karan Malhotra"/>
    <n v="1000000005"/>
    <x v="0"/>
    <n v="0"/>
    <x v="0"/>
    <n v="0"/>
    <n v="1"/>
    <x v="0"/>
    <n v="0"/>
    <x v="3"/>
    <d v="2026-08-05T17:35:46"/>
    <d v="2026-08-05T17:35:53"/>
    <n v="8"/>
    <n v="0"/>
    <m/>
    <s v="KA"/>
    <s v="KA"/>
    <m/>
  </r>
  <r>
    <s v="C31"/>
    <x v="0"/>
    <n v="8099389567"/>
    <n v="482911979"/>
    <x v="21"/>
    <s v="Kriti Dutta"/>
    <n v="1000000036"/>
    <x v="1"/>
    <n v="1"/>
    <x v="0"/>
    <n v="1"/>
    <n v="1"/>
    <x v="0"/>
    <n v="1"/>
    <x v="1"/>
    <d v="2026-08-02T11:47:13"/>
    <d v="2026-08-02T11:48:25"/>
    <n v="75"/>
    <n v="0"/>
    <n v="0.4"/>
    <s v="KA"/>
    <s v="KA"/>
    <m/>
  </r>
  <r>
    <s v="C318"/>
    <x v="0"/>
    <n v="8099389567"/>
    <n v="103572363"/>
    <x v="40"/>
    <s v="N/A"/>
    <m/>
    <x v="0"/>
    <n v="0"/>
    <x v="0"/>
    <n v="0"/>
    <n v="1"/>
    <x v="0"/>
    <n v="0"/>
    <x v="3"/>
    <d v="2026-08-05T19:34:59"/>
    <d v="2026-08-05T19:35:07"/>
    <n v="9"/>
    <n v="0"/>
    <m/>
    <s v="KA"/>
    <s v="KA"/>
    <m/>
  </r>
  <r>
    <s v="C321"/>
    <x v="0"/>
    <n v="8099389567"/>
    <n v="131147965"/>
    <x v="40"/>
    <s v="Hyderali Meer"/>
    <m/>
    <x v="1"/>
    <n v="1"/>
    <x v="0"/>
    <n v="1"/>
    <n v="1"/>
    <x v="0"/>
    <n v="1"/>
    <x v="3"/>
    <d v="2026-08-05T20:52:26"/>
    <d v="2026-08-05T20:53:20"/>
    <n v="56"/>
    <n v="0"/>
    <n v="0.4"/>
    <s v="KA"/>
    <s v="KA"/>
    <m/>
  </r>
  <r>
    <s v="C322"/>
    <x v="0"/>
    <n v="8099389567"/>
    <n v="999414284"/>
    <x v="40"/>
    <s v="Abdul Usman Ali"/>
    <m/>
    <x v="2"/>
    <n v="0"/>
    <x v="0"/>
    <n v="0"/>
    <n v="1"/>
    <x v="0"/>
    <n v="0"/>
    <x v="3"/>
    <d v="2026-08-05T20:53:28"/>
    <d v="2026-08-05T20:54:02"/>
    <n v="35"/>
    <n v="1"/>
    <m/>
    <s v="KA"/>
    <s v="KA"/>
    <m/>
  </r>
  <r>
    <s v="C323"/>
    <x v="0"/>
    <n v="8099389567"/>
    <n v="127372813"/>
    <x v="41"/>
    <s v="Vijnesh Jayanandan Poojary"/>
    <m/>
    <x v="2"/>
    <n v="0"/>
    <x v="0"/>
    <n v="0"/>
    <n v="1"/>
    <x v="0"/>
    <n v="0"/>
    <x v="3"/>
    <d v="2026-08-05T20:54:30"/>
    <d v="2026-08-05T20:55:35"/>
    <n v="66"/>
    <n v="1"/>
    <m/>
    <s v="KA"/>
    <s v="KA"/>
    <m/>
  </r>
  <r>
    <s v="C324"/>
    <x v="0"/>
    <n v="8099389567"/>
    <n v="939426610"/>
    <x v="42"/>
    <s v="Martin Nerella"/>
    <m/>
    <x v="2"/>
    <n v="0"/>
    <x v="0"/>
    <n v="0"/>
    <n v="1"/>
    <x v="0"/>
    <n v="0"/>
    <x v="3"/>
    <d v="2026-08-05T20:57:24"/>
    <d v="2026-08-05T20:57:44"/>
    <n v="20"/>
    <n v="1"/>
    <m/>
    <s v="KA"/>
    <s v="KA"/>
    <m/>
  </r>
  <r>
    <s v="C325"/>
    <x v="0"/>
    <n v="8099389567"/>
    <n v="497732118"/>
    <x v="42"/>
    <s v="Nirag K A"/>
    <m/>
    <x v="2"/>
    <n v="0"/>
    <x v="0"/>
    <n v="0"/>
    <n v="1"/>
    <x v="0"/>
    <n v="0"/>
    <x v="3"/>
    <d v="2026-08-05T20:57:46"/>
    <d v="2026-08-05T20:58:34"/>
    <n v="49"/>
    <n v="1"/>
    <m/>
    <s v="KA"/>
    <s v="KA"/>
    <m/>
  </r>
  <r>
    <s v="C326"/>
    <x v="0"/>
    <n v="8099389567"/>
    <n v="765892845"/>
    <x v="43"/>
    <s v="Abdul Usman Ali"/>
    <m/>
    <x v="2"/>
    <n v="0"/>
    <x v="0"/>
    <n v="0"/>
    <n v="1"/>
    <x v="0"/>
    <n v="0"/>
    <x v="3"/>
    <d v="2026-08-05T20:58:06"/>
    <d v="2026-08-05T20:58:25"/>
    <n v="32"/>
    <n v="1"/>
    <m/>
    <s v="KA"/>
    <s v="KA"/>
    <m/>
  </r>
  <r>
    <s v="C327"/>
    <x v="0"/>
    <n v="8099389567"/>
    <n v="807420471"/>
    <x v="40"/>
    <s v="Martin Nerella"/>
    <m/>
    <x v="1"/>
    <n v="1"/>
    <x v="0"/>
    <n v="1"/>
    <n v="1"/>
    <x v="0"/>
    <n v="1"/>
    <x v="3"/>
    <d v="2026-08-05T21:02:01"/>
    <d v="2026-08-05T21:03:06"/>
    <n v="67"/>
    <n v="0"/>
    <n v="0.4"/>
    <s v="KA"/>
    <s v="KA"/>
    <m/>
  </r>
  <r>
    <s v="C328"/>
    <x v="0"/>
    <n v="8099389567"/>
    <n v="994829494"/>
    <x v="42"/>
    <s v="Nirag K A"/>
    <m/>
    <x v="2"/>
    <n v="0"/>
    <x v="0"/>
    <n v="0"/>
    <n v="1"/>
    <x v="0"/>
    <n v="0"/>
    <x v="4"/>
    <d v="2026-08-06T01:01:28"/>
    <d v="2026-08-06T01:01:46"/>
    <n v="19"/>
    <n v="1"/>
    <m/>
    <s v="AP"/>
    <s v="KA"/>
    <m/>
  </r>
  <r>
    <s v="C329"/>
    <x v="0"/>
    <n v="8099389567"/>
    <n v="993671909"/>
    <x v="42"/>
    <s v="N/A"/>
    <m/>
    <x v="0"/>
    <n v="0"/>
    <x v="0"/>
    <n v="0"/>
    <n v="1"/>
    <x v="0"/>
    <n v="0"/>
    <x v="4"/>
    <d v="2026-08-06T01:03:24"/>
    <d v="2026-08-06T01:03:39"/>
    <n v="16"/>
    <n v="0"/>
    <m/>
    <s v="AP"/>
    <s v="KA"/>
    <m/>
  </r>
  <r>
    <s v="C33"/>
    <x v="0"/>
    <n v="8099389567"/>
    <n v="156068728"/>
    <x v="10"/>
    <s v="Amit Khanna"/>
    <n v="1000000035"/>
    <x v="1"/>
    <n v="1"/>
    <x v="0"/>
    <n v="1"/>
    <n v="1"/>
    <x v="0"/>
    <n v="1"/>
    <x v="1"/>
    <d v="2026-08-02T12:00:42"/>
    <d v="2026-08-02T12:02:20"/>
    <n v="99"/>
    <n v="0"/>
    <n v="0.4"/>
    <s v="KA"/>
    <s v="KA"/>
    <m/>
  </r>
  <r>
    <s v="C330"/>
    <x v="0"/>
    <n v="8099389567"/>
    <n v="450765243"/>
    <x v="42"/>
    <s v="Tannishtha Ajaykumar Patil"/>
    <m/>
    <x v="1"/>
    <n v="1"/>
    <x v="0"/>
    <n v="1"/>
    <n v="1"/>
    <x v="0"/>
    <n v="1"/>
    <x v="4"/>
    <d v="2026-08-06T08:38:35"/>
    <d v="2026-08-06T08:39:52"/>
    <n v="78"/>
    <n v="0"/>
    <n v="0.4"/>
    <s v="KA"/>
    <s v="KA"/>
    <m/>
  </r>
  <r>
    <s v="C331"/>
    <x v="0"/>
    <n v="8099389567"/>
    <n v="617722650"/>
    <x v="42"/>
    <s v="N/A"/>
    <m/>
    <x v="2"/>
    <n v="0"/>
    <x v="0"/>
    <n v="0"/>
    <n v="1"/>
    <x v="0"/>
    <n v="0"/>
    <x v="4"/>
    <d v="2026-08-06T10:30:21"/>
    <d v="2026-08-06T10:30:45"/>
    <n v="25"/>
    <n v="1"/>
    <m/>
    <s v="KA"/>
    <s v="KA"/>
    <m/>
  </r>
  <r>
    <s v="C332"/>
    <x v="0"/>
    <n v="8099389567"/>
    <n v="354417635"/>
    <x v="42"/>
    <s v="Nagma Fathima"/>
    <m/>
    <x v="1"/>
    <n v="1"/>
    <x v="0"/>
    <n v="1"/>
    <n v="1"/>
    <x v="0"/>
    <n v="1"/>
    <x v="4"/>
    <d v="2026-08-06T11:04:26"/>
    <d v="2026-08-06T11:14:01"/>
    <n v="576"/>
    <n v="0"/>
    <n v="4"/>
    <s v="KA"/>
    <s v="KA"/>
    <m/>
  </r>
  <r>
    <s v="C333"/>
    <x v="0"/>
    <n v="8099389567"/>
    <n v="269368769"/>
    <x v="42"/>
    <s v="N/A"/>
    <m/>
    <x v="0"/>
    <n v="0"/>
    <x v="0"/>
    <n v="0"/>
    <n v="1"/>
    <x v="0"/>
    <n v="0"/>
    <x v="4"/>
    <d v="2026-08-06T11:44:21"/>
    <d v="2026-08-06T11:44:27"/>
    <n v="8"/>
    <n v="0"/>
    <m/>
    <s v="KA"/>
    <s v="KA"/>
    <m/>
  </r>
  <r>
    <s v="C334"/>
    <x v="0"/>
    <n v="8099389567"/>
    <n v="266111722"/>
    <x v="42"/>
    <s v="ganesh sheshadri"/>
    <m/>
    <x v="1"/>
    <n v="1"/>
    <x v="0"/>
    <n v="1"/>
    <n v="1"/>
    <x v="0"/>
    <n v="1"/>
    <x v="4"/>
    <d v="2026-08-06T12:07:37"/>
    <d v="2026-08-06T12:22:48"/>
    <n v="913"/>
    <n v="0"/>
    <n v="6"/>
    <s v="KA"/>
    <s v="KA"/>
    <m/>
  </r>
  <r>
    <s v="C335"/>
    <x v="0"/>
    <n v="8099389567"/>
    <n v="721354464"/>
    <x v="42"/>
    <s v="N/A"/>
    <m/>
    <x v="0"/>
    <n v="0"/>
    <x v="0"/>
    <n v="0"/>
    <n v="1"/>
    <x v="0"/>
    <n v="0"/>
    <x v="4"/>
    <d v="2026-08-06T12:43:44"/>
    <d v="2026-08-06T12:43:52"/>
    <n v="9"/>
    <n v="0"/>
    <m/>
    <s v="KA"/>
    <s v="KA"/>
    <m/>
  </r>
  <r>
    <s v="C336"/>
    <x v="0"/>
    <n v="8099389567"/>
    <n v="542405733"/>
    <x v="42"/>
    <s v="N/A"/>
    <m/>
    <x v="0"/>
    <n v="0"/>
    <x v="0"/>
    <n v="0"/>
    <n v="1"/>
    <x v="0"/>
    <n v="0"/>
    <x v="4"/>
    <d v="2026-08-06T12:44:04"/>
    <d v="2026-08-06T12:44:08"/>
    <n v="5"/>
    <n v="0"/>
    <m/>
    <s v="KA"/>
    <s v="KA"/>
    <m/>
  </r>
  <r>
    <s v="C337"/>
    <x v="0"/>
    <n v="8099389567"/>
    <n v="836586873"/>
    <x v="42"/>
    <s v="N/A"/>
    <m/>
    <x v="0"/>
    <n v="0"/>
    <x v="0"/>
    <n v="0"/>
    <n v="1"/>
    <x v="0"/>
    <n v="0"/>
    <x v="4"/>
    <d v="2026-08-06T15:04:06"/>
    <d v="2026-08-06T15:04:12"/>
    <n v="7"/>
    <n v="0"/>
    <m/>
    <s v="AP"/>
    <s v="KA"/>
    <m/>
  </r>
  <r>
    <s v="C338"/>
    <x v="0"/>
    <n v="8099389567"/>
    <n v="574013651"/>
    <x v="42"/>
    <s v="Rahul Kumar"/>
    <m/>
    <x v="1"/>
    <n v="1"/>
    <x v="0"/>
    <n v="1"/>
    <n v="1"/>
    <x v="0"/>
    <n v="1"/>
    <x v="4"/>
    <d v="2026-08-06T15:17:25"/>
    <d v="2026-08-06T15:21:02"/>
    <n v="218"/>
    <n v="0"/>
    <n v="1.6"/>
    <s v="KA"/>
    <s v="KA"/>
    <m/>
  </r>
  <r>
    <s v="C339"/>
    <x v="0"/>
    <n v="8099389567"/>
    <n v="477323957"/>
    <x v="42"/>
    <s v="N/A"/>
    <m/>
    <x v="0"/>
    <n v="0"/>
    <x v="0"/>
    <n v="0"/>
    <n v="1"/>
    <x v="0"/>
    <n v="0"/>
    <x v="4"/>
    <d v="2026-08-06T16:32:54"/>
    <d v="2026-08-06T16:33:00"/>
    <n v="7"/>
    <n v="0"/>
    <m/>
    <s v="BR"/>
    <s v="KA"/>
    <m/>
  </r>
  <r>
    <s v="C340"/>
    <x v="0"/>
    <n v="8099389567"/>
    <n v="400844850"/>
    <x v="42"/>
    <s v="Rahul Kumar"/>
    <m/>
    <x v="1"/>
    <n v="1"/>
    <x v="0"/>
    <n v="1"/>
    <n v="1"/>
    <x v="0"/>
    <n v="1"/>
    <x v="4"/>
    <d v="2026-08-06T16:40:09"/>
    <d v="2026-08-06T16:43:28"/>
    <n v="199"/>
    <n v="0"/>
    <n v="1.2"/>
    <s v="DL"/>
    <s v="KA"/>
    <m/>
  </r>
  <r>
    <s v="C341"/>
    <x v="0"/>
    <n v="8099389567"/>
    <n v="126623569"/>
    <x v="44"/>
    <s v="N/A"/>
    <m/>
    <x v="0"/>
    <n v="0"/>
    <x v="0"/>
    <n v="0"/>
    <n v="1"/>
    <x v="0"/>
    <n v="0"/>
    <x v="4"/>
    <d v="2026-08-06T16:48:47"/>
    <d v="2026-08-06T16:48:51"/>
    <n v="5"/>
    <n v="0"/>
    <m/>
    <s v="KA"/>
    <s v="KA"/>
    <m/>
  </r>
  <r>
    <s v="C342"/>
    <x v="0"/>
    <n v="8099389567"/>
    <n v="523740988"/>
    <x v="42"/>
    <s v="Nirag K A"/>
    <m/>
    <x v="2"/>
    <n v="0"/>
    <x v="0"/>
    <n v="0"/>
    <n v="1"/>
    <x v="0"/>
    <n v="0"/>
    <x v="4"/>
    <d v="2026-08-06T17:31:10"/>
    <d v="2026-08-06T17:31:37"/>
    <n v="28"/>
    <n v="1"/>
    <m/>
    <s v="KA"/>
    <s v="KA"/>
    <m/>
  </r>
  <r>
    <s v="C344"/>
    <x v="0"/>
    <n v="8099389567"/>
    <n v="757488498"/>
    <x v="42"/>
    <s v="N/A"/>
    <m/>
    <x v="0"/>
    <n v="0"/>
    <x v="0"/>
    <n v="0"/>
    <n v="1"/>
    <x v="0"/>
    <n v="0"/>
    <x v="4"/>
    <d v="2026-08-06T19:48:47"/>
    <d v="2026-08-06T19:48:53"/>
    <n v="8"/>
    <n v="0"/>
    <m/>
    <s v="MP"/>
    <s v="KA"/>
    <m/>
  </r>
  <r>
    <s v="C345"/>
    <x v="0"/>
    <n v="8099389567"/>
    <n v="84824810"/>
    <x v="45"/>
    <s v="Rahul Kumar"/>
    <m/>
    <x v="1"/>
    <n v="1"/>
    <x v="0"/>
    <n v="1"/>
    <n v="1"/>
    <x v="0"/>
    <n v="1"/>
    <x v="4"/>
    <d v="2026-08-06T20:15:28"/>
    <d v="2026-08-06T20:16:01"/>
    <n v="34"/>
    <n v="0"/>
    <n v="0.4"/>
    <s v="KA"/>
    <s v="KA"/>
    <m/>
  </r>
  <r>
    <s v="C346"/>
    <x v="0"/>
    <n v="8099389567"/>
    <n v="761906691"/>
    <x v="42"/>
    <s v="Rahul Kumar"/>
    <m/>
    <x v="2"/>
    <n v="0"/>
    <x v="0"/>
    <n v="0"/>
    <n v="1"/>
    <x v="0"/>
    <n v="0"/>
    <x v="4"/>
    <d v="2026-08-06T20:38:26"/>
    <d v="2026-08-06T20:38:45"/>
    <n v="21"/>
    <n v="1"/>
    <m/>
    <s v="KA"/>
    <s v="KA"/>
    <m/>
  </r>
  <r>
    <s v="C348"/>
    <x v="0"/>
    <n v="8099389567"/>
    <n v="390531711"/>
    <x v="42"/>
    <s v="N/A"/>
    <m/>
    <x v="0"/>
    <n v="0"/>
    <x v="0"/>
    <n v="0"/>
    <n v="1"/>
    <x v="0"/>
    <n v="0"/>
    <x v="4"/>
    <d v="2026-08-06T21:22:04"/>
    <d v="2026-08-06T21:22:06"/>
    <n v="3"/>
    <n v="0"/>
    <m/>
    <s v="KA"/>
    <s v="KA"/>
    <m/>
  </r>
  <r>
    <s v="C349"/>
    <x v="0"/>
    <n v="8099389567"/>
    <n v="421938664"/>
    <x v="42"/>
    <s v="Anto Abhishek"/>
    <m/>
    <x v="1"/>
    <n v="1"/>
    <x v="0"/>
    <n v="1"/>
    <n v="1"/>
    <x v="0"/>
    <n v="1"/>
    <x v="4"/>
    <d v="2026-08-06T21:25:37"/>
    <d v="2026-08-06T21:28:21"/>
    <n v="165"/>
    <n v="0"/>
    <n v="1.2"/>
    <s v="DL"/>
    <s v="KA"/>
    <m/>
  </r>
  <r>
    <s v="C35"/>
    <x v="0"/>
    <n v="8099389567"/>
    <n v="153604843"/>
    <x v="1"/>
    <s v="Varun Singh"/>
    <n v="1000000015"/>
    <x v="0"/>
    <n v="0"/>
    <x v="0"/>
    <n v="0"/>
    <n v="1"/>
    <x v="0"/>
    <n v="0"/>
    <x v="1"/>
    <d v="2026-08-02T12:13:04"/>
    <d v="2026-08-02T12:13:19"/>
    <n v="17"/>
    <n v="0"/>
    <m/>
    <s v="KA"/>
    <s v="KA"/>
    <m/>
  </r>
  <r>
    <s v="C351"/>
    <x v="0"/>
    <n v="8099389567"/>
    <n v="553911295"/>
    <x v="42"/>
    <s v="N/A"/>
    <m/>
    <x v="0"/>
    <n v="0"/>
    <x v="0"/>
    <n v="0"/>
    <n v="1"/>
    <x v="0"/>
    <n v="0"/>
    <x v="4"/>
    <d v="2026-08-06T22:16:41"/>
    <d v="2026-08-06T22:16:44"/>
    <n v="4"/>
    <n v="0"/>
    <m/>
    <s v="KA"/>
    <s v="KA"/>
    <m/>
  </r>
  <r>
    <s v="C352"/>
    <x v="0"/>
    <n v="8099389567"/>
    <n v="771792977"/>
    <x v="42"/>
    <s v="Nirag K A"/>
    <m/>
    <x v="2"/>
    <n v="0"/>
    <x v="0"/>
    <n v="0"/>
    <n v="1"/>
    <x v="0"/>
    <n v="0"/>
    <x v="4"/>
    <d v="2026-08-06T22:18:47"/>
    <d v="2026-08-06T22:19:00"/>
    <n v="14"/>
    <n v="1"/>
    <m/>
    <s v="KA"/>
    <s v="KA"/>
    <m/>
  </r>
  <r>
    <s v="C353"/>
    <x v="0"/>
    <n v="8099389567"/>
    <n v="98484974"/>
    <x v="42"/>
    <s v="N/A"/>
    <m/>
    <x v="0"/>
    <n v="0"/>
    <x v="0"/>
    <n v="0"/>
    <n v="1"/>
    <x v="0"/>
    <n v="0"/>
    <x v="4"/>
    <d v="2026-08-06T22:25:53"/>
    <d v="2026-08-06T22:26:02"/>
    <n v="9"/>
    <n v="0"/>
    <m/>
    <s v="KA"/>
    <s v="KA"/>
    <m/>
  </r>
  <r>
    <s v="C354"/>
    <x v="0"/>
    <n v="8099389567"/>
    <n v="286324851"/>
    <x v="42"/>
    <s v="N/A"/>
    <m/>
    <x v="0"/>
    <n v="0"/>
    <x v="0"/>
    <n v="0"/>
    <n v="1"/>
    <x v="0"/>
    <n v="0"/>
    <x v="4"/>
    <d v="2026-08-06T23:01:19"/>
    <d v="2026-08-06T23:01:25"/>
    <n v="6"/>
    <n v="0"/>
    <m/>
    <s v="KA"/>
    <s v="KA"/>
    <m/>
  </r>
  <r>
    <s v="C355"/>
    <x v="0"/>
    <n v="8099389567"/>
    <n v="972256832"/>
    <x v="42"/>
    <s v="N/A"/>
    <m/>
    <x v="0"/>
    <n v="0"/>
    <x v="0"/>
    <n v="0"/>
    <n v="1"/>
    <x v="0"/>
    <n v="0"/>
    <x v="4"/>
    <d v="2026-08-06T23:40:03"/>
    <d v="2026-08-06T23:39:58"/>
    <n v="1"/>
    <n v="0"/>
    <m/>
    <s v="KA"/>
    <s v="KA"/>
    <m/>
  </r>
  <r>
    <s v="C357"/>
    <x v="0"/>
    <n v="8099389567"/>
    <n v="704574043"/>
    <x v="42"/>
    <s v="N/A"/>
    <m/>
    <x v="0"/>
    <n v="0"/>
    <x v="0"/>
    <n v="0"/>
    <n v="1"/>
    <x v="0"/>
    <n v="0"/>
    <x v="4"/>
    <d v="2026-08-06T23:53:53"/>
    <d v="2026-08-06T23:53:55"/>
    <n v="3"/>
    <n v="0"/>
    <m/>
    <s v="KA"/>
    <s v="KA"/>
    <m/>
  </r>
  <r>
    <s v="C358"/>
    <x v="0"/>
    <n v="8099389567"/>
    <n v="199611280"/>
    <x v="42"/>
    <s v="Tannishtha Ajaykumar Patil"/>
    <m/>
    <x v="1"/>
    <n v="1"/>
    <x v="0"/>
    <n v="1"/>
    <n v="1"/>
    <x v="0"/>
    <n v="1"/>
    <x v="5"/>
    <d v="2026-08-07T08:48:59"/>
    <d v="2026-08-07T08:53:03"/>
    <n v="245"/>
    <n v="0"/>
    <n v="1.6"/>
    <s v="KA"/>
    <s v="KA"/>
    <m/>
  </r>
  <r>
    <s v="C359"/>
    <x v="0"/>
    <n v="8099389567"/>
    <n v="715639529"/>
    <x v="42"/>
    <s v="N/A"/>
    <m/>
    <x v="0"/>
    <n v="0"/>
    <x v="0"/>
    <n v="0"/>
    <n v="1"/>
    <x v="0"/>
    <n v="0"/>
    <x v="5"/>
    <d v="2026-08-07T09:30:51"/>
    <d v="2026-08-07T09:30:58"/>
    <n v="8"/>
    <n v="0"/>
    <m/>
    <s v="KA"/>
    <s v="KA"/>
    <m/>
  </r>
  <r>
    <s v="C360"/>
    <x v="0"/>
    <n v="8099389567"/>
    <n v="236866065"/>
    <x v="42"/>
    <s v="N/A"/>
    <m/>
    <x v="0"/>
    <n v="0"/>
    <x v="0"/>
    <n v="0"/>
    <n v="1"/>
    <x v="0"/>
    <n v="0"/>
    <x v="5"/>
    <d v="2026-08-07T09:52:53"/>
    <d v="2026-08-07T09:53:11"/>
    <n v="19"/>
    <n v="0"/>
    <m/>
    <s v="AP"/>
    <s v="KA"/>
    <m/>
  </r>
  <r>
    <s v="C361"/>
    <x v="0"/>
    <n v="8099389567"/>
    <n v="804783022"/>
    <x v="42"/>
    <s v="ganesh sheshadri"/>
    <m/>
    <x v="1"/>
    <n v="1"/>
    <x v="0"/>
    <n v="1"/>
    <n v="1"/>
    <x v="0"/>
    <n v="1"/>
    <x v="5"/>
    <d v="2026-08-07T12:28:41"/>
    <d v="2026-08-07T12:39:23"/>
    <n v="642"/>
    <n v="0"/>
    <n v="4.4000000000000004"/>
    <s v="KA"/>
    <s v="KA"/>
    <m/>
  </r>
  <r>
    <s v="C362"/>
    <x v="0"/>
    <n v="8099389567"/>
    <n v="147231369"/>
    <x v="42"/>
    <s v="Gifty gowda"/>
    <m/>
    <x v="1"/>
    <n v="1"/>
    <x v="0"/>
    <n v="1"/>
    <n v="1"/>
    <x v="0"/>
    <n v="1"/>
    <x v="5"/>
    <d v="2026-08-07T12:39:59"/>
    <d v="2026-08-07T12:47:57"/>
    <n v="478"/>
    <n v="0"/>
    <n v="3.2"/>
    <s v="KA"/>
    <s v="KA"/>
    <m/>
  </r>
  <r>
    <s v="C363"/>
    <x v="0"/>
    <n v="8099389567"/>
    <n v="434689963"/>
    <x v="42"/>
    <s v="Nagma Fathima"/>
    <m/>
    <x v="1"/>
    <n v="1"/>
    <x v="0"/>
    <n v="1"/>
    <n v="1"/>
    <x v="0"/>
    <n v="1"/>
    <x v="5"/>
    <d v="2026-08-07T12:48:17"/>
    <d v="2026-08-07T13:01:23"/>
    <n v="786"/>
    <n v="0"/>
    <n v="5.2"/>
    <s v="KA"/>
    <s v="KA"/>
    <m/>
  </r>
  <r>
    <s v="C364"/>
    <x v="0"/>
    <n v="8099389567"/>
    <n v="966974040"/>
    <x v="42"/>
    <s v="Rahul Kumar"/>
    <m/>
    <x v="1"/>
    <n v="1"/>
    <x v="0"/>
    <n v="1"/>
    <n v="1"/>
    <x v="0"/>
    <n v="1"/>
    <x v="5"/>
    <d v="2026-08-07T13:01:41"/>
    <d v="2026-08-07T13:09:52"/>
    <n v="492"/>
    <n v="0"/>
    <n v="3.2"/>
    <s v="KA"/>
    <s v="KA"/>
    <m/>
  </r>
  <r>
    <s v="C365"/>
    <x v="0"/>
    <n v="8099389567"/>
    <n v="248716961"/>
    <x v="42"/>
    <s v="Tannishtha Ajaykumar Patil"/>
    <m/>
    <x v="1"/>
    <n v="1"/>
    <x v="0"/>
    <n v="1"/>
    <n v="1"/>
    <x v="0"/>
    <n v="1"/>
    <x v="5"/>
    <d v="2026-08-07T13:03:28"/>
    <d v="2026-08-07T13:03:55"/>
    <n v="29"/>
    <n v="0"/>
    <n v="0.4"/>
    <s v="HR"/>
    <s v="KA"/>
    <m/>
  </r>
  <r>
    <s v="C366"/>
    <x v="0"/>
    <n v="8099389567"/>
    <n v="61147498"/>
    <x v="46"/>
    <s v="N/A"/>
    <m/>
    <x v="0"/>
    <n v="0"/>
    <x v="0"/>
    <n v="0"/>
    <n v="1"/>
    <x v="0"/>
    <n v="0"/>
    <x v="5"/>
    <d v="2026-08-07T13:18:56"/>
    <d v="2026-08-07T13:18:58"/>
    <n v="3"/>
    <n v="0"/>
    <m/>
    <s v="KA"/>
    <s v="KA"/>
    <m/>
  </r>
  <r>
    <s v="C367"/>
    <x v="0"/>
    <n v="8099389567"/>
    <n v="628474813"/>
    <x v="42"/>
    <s v="ganesh sheshadri"/>
    <m/>
    <x v="1"/>
    <n v="1"/>
    <x v="0"/>
    <n v="1"/>
    <n v="1"/>
    <x v="0"/>
    <n v="1"/>
    <x v="5"/>
    <d v="2026-08-07T13:41:17"/>
    <d v="2026-08-07T13:52:09"/>
    <n v="653"/>
    <n v="0"/>
    <n v="4.4000000000000004"/>
    <s v="KA"/>
    <s v="KA"/>
    <m/>
  </r>
  <r>
    <s v="C368"/>
    <x v="0"/>
    <n v="8099389567"/>
    <n v="846055718"/>
    <x v="42"/>
    <s v="Gifty gowda"/>
    <m/>
    <x v="1"/>
    <n v="1"/>
    <x v="0"/>
    <n v="1"/>
    <n v="1"/>
    <x v="0"/>
    <n v="1"/>
    <x v="5"/>
    <d v="2026-08-07T14:09:51"/>
    <d v="2026-08-07T14:11:06"/>
    <n v="72"/>
    <n v="0"/>
    <n v="0.4"/>
    <s v="RJ"/>
    <s v="KA"/>
    <m/>
  </r>
  <r>
    <s v="C369"/>
    <x v="0"/>
    <n v="8099389567"/>
    <n v="387225827"/>
    <x v="42"/>
    <s v="Tannishtha Ajaykumar Patil"/>
    <m/>
    <x v="2"/>
    <n v="0"/>
    <x v="0"/>
    <n v="0"/>
    <n v="1"/>
    <x v="0"/>
    <n v="0"/>
    <x v="5"/>
    <d v="2026-08-07T15:26:57"/>
    <d v="2026-08-07T15:27:27"/>
    <n v="30"/>
    <n v="1"/>
    <m/>
    <s v="UE"/>
    <s v="KA"/>
    <m/>
  </r>
  <r>
    <s v="C37"/>
    <x v="0"/>
    <n v="8099389567"/>
    <n v="306273472"/>
    <x v="36"/>
    <s v="Nisha Shetty"/>
    <n v="1000000038"/>
    <x v="0"/>
    <n v="0"/>
    <x v="0"/>
    <n v="0"/>
    <n v="1"/>
    <x v="0"/>
    <n v="0"/>
    <x v="1"/>
    <d v="2026-08-02T13:01:25"/>
    <d v="2026-08-02T13:01:33"/>
    <n v="9"/>
    <n v="0"/>
    <m/>
    <s v="KA"/>
    <s v="KA"/>
    <m/>
  </r>
  <r>
    <s v="C370"/>
    <x v="0"/>
    <n v="8099389567"/>
    <n v="746788561"/>
    <x v="42"/>
    <s v="N/A"/>
    <m/>
    <x v="0"/>
    <n v="0"/>
    <x v="0"/>
    <n v="0"/>
    <n v="1"/>
    <x v="0"/>
    <n v="0"/>
    <x v="5"/>
    <d v="2026-08-07T16:15:24"/>
    <d v="2026-08-07T16:15:27"/>
    <n v="4"/>
    <n v="0"/>
    <m/>
    <s v="KA"/>
    <s v="KA"/>
    <m/>
  </r>
  <r>
    <s v="C371"/>
    <x v="0"/>
    <n v="8099389567"/>
    <n v="897029269"/>
    <x v="42"/>
    <s v="ganesh sheshadri"/>
    <m/>
    <x v="1"/>
    <n v="1"/>
    <x v="0"/>
    <n v="1"/>
    <n v="1"/>
    <x v="0"/>
    <n v="1"/>
    <x v="5"/>
    <d v="2026-08-07T16:34:04"/>
    <d v="2026-08-07T16:34:27"/>
    <n v="23"/>
    <n v="0"/>
    <n v="0.4"/>
    <s v="KA"/>
    <s v="KA"/>
    <m/>
  </r>
  <r>
    <s v="C372"/>
    <x v="0"/>
    <n v="8099389567"/>
    <n v="977968572"/>
    <x v="42"/>
    <s v="N/A"/>
    <m/>
    <x v="2"/>
    <n v="0"/>
    <x v="0"/>
    <n v="0"/>
    <n v="1"/>
    <x v="0"/>
    <n v="0"/>
    <x v="5"/>
    <d v="2026-08-07T18:02:18"/>
    <d v="2026-08-07T18:02:28"/>
    <n v="11"/>
    <n v="1"/>
    <m/>
    <s v="UE"/>
    <s v="KA"/>
    <m/>
  </r>
  <r>
    <s v="C373"/>
    <x v="0"/>
    <n v="8099389567"/>
    <n v="361224392"/>
    <x v="42"/>
    <s v="Anto Abhishek"/>
    <m/>
    <x v="1"/>
    <n v="1"/>
    <x v="0"/>
    <n v="1"/>
    <n v="1"/>
    <x v="0"/>
    <n v="1"/>
    <x v="5"/>
    <d v="2026-08-07T18:35:43"/>
    <d v="2026-08-07T18:44:42"/>
    <n v="539"/>
    <n v="0"/>
    <n v="3.6"/>
    <s v="KA"/>
    <s v="KA"/>
    <m/>
  </r>
  <r>
    <s v="C374"/>
    <x v="0"/>
    <n v="8099389567"/>
    <n v="528602130"/>
    <x v="42"/>
    <s v="Rahul Kumar"/>
    <m/>
    <x v="1"/>
    <n v="1"/>
    <x v="0"/>
    <n v="1"/>
    <n v="1"/>
    <x v="0"/>
    <n v="1"/>
    <x v="5"/>
    <d v="2026-08-07T18:50:30"/>
    <d v="2026-08-07T19:02:55"/>
    <n v="746"/>
    <n v="0"/>
    <n v="4.8"/>
    <s v="HR"/>
    <s v="KA"/>
    <m/>
  </r>
  <r>
    <s v="C375"/>
    <x v="0"/>
    <n v="8099389567"/>
    <n v="153145980"/>
    <x v="42"/>
    <s v="N/A"/>
    <m/>
    <x v="2"/>
    <n v="0"/>
    <x v="0"/>
    <n v="0"/>
    <n v="1"/>
    <x v="0"/>
    <n v="0"/>
    <x v="5"/>
    <d v="2026-08-07T18:55:08"/>
    <d v="2026-08-07T18:55:30"/>
    <n v="23"/>
    <n v="1"/>
    <m/>
    <s v="KA"/>
    <s v="KA"/>
    <m/>
  </r>
  <r>
    <s v="C376"/>
    <x v="0"/>
    <n v="8099389567"/>
    <n v="475244184"/>
    <x v="42"/>
    <s v="N/A"/>
    <m/>
    <x v="0"/>
    <n v="0"/>
    <x v="0"/>
    <n v="0"/>
    <n v="1"/>
    <x v="0"/>
    <n v="0"/>
    <x v="5"/>
    <d v="2026-08-07T18:55:26"/>
    <d v="2026-08-07T18:55:28"/>
    <n v="3"/>
    <n v="0"/>
    <m/>
    <s v="KA"/>
    <s v="KA"/>
    <m/>
  </r>
  <r>
    <s v="C377"/>
    <x v="0"/>
    <n v="8099389567"/>
    <n v="351506220"/>
    <x v="42"/>
    <s v="N/A"/>
    <m/>
    <x v="0"/>
    <n v="0"/>
    <x v="0"/>
    <n v="0"/>
    <n v="1"/>
    <x v="0"/>
    <n v="0"/>
    <x v="5"/>
    <d v="2026-08-07T21:27:50"/>
    <d v="2026-08-07T21:27:56"/>
    <n v="6"/>
    <n v="0"/>
    <m/>
    <s v="KA"/>
    <s v="KA"/>
    <m/>
  </r>
  <r>
    <s v="C378"/>
    <x v="0"/>
    <n v="8099389567"/>
    <n v="705230835"/>
    <x v="42"/>
    <s v="N/A"/>
    <m/>
    <x v="0"/>
    <n v="0"/>
    <x v="0"/>
    <n v="0"/>
    <n v="1"/>
    <x v="0"/>
    <n v="0"/>
    <x v="5"/>
    <d v="2026-08-07T21:39:24"/>
    <d v="2026-08-07T21:39:33"/>
    <n v="10"/>
    <n v="0"/>
    <m/>
    <s v="KA"/>
    <s v="KA"/>
    <m/>
  </r>
  <r>
    <s v="C379"/>
    <x v="0"/>
    <n v="8099389567"/>
    <n v="69683547"/>
    <x v="42"/>
    <s v="N/A"/>
    <m/>
    <x v="0"/>
    <n v="0"/>
    <x v="0"/>
    <n v="0"/>
    <n v="1"/>
    <x v="0"/>
    <n v="0"/>
    <x v="5"/>
    <d v="2026-08-07T22:43:35"/>
    <d v="2026-08-07T22:43:49"/>
    <n v="15"/>
    <n v="0"/>
    <m/>
    <s v="AP"/>
    <s v="KA"/>
    <m/>
  </r>
  <r>
    <s v="C39"/>
    <x v="0"/>
    <n v="8099389567"/>
    <n v="200686377"/>
    <x v="15"/>
    <s v="Aarav Sharma"/>
    <n v="1000000001"/>
    <x v="2"/>
    <n v="0"/>
    <x v="0"/>
    <n v="0"/>
    <n v="1"/>
    <x v="0"/>
    <n v="0"/>
    <x v="1"/>
    <d v="2026-08-02T13:13:47"/>
    <d v="2026-08-02T13:14:59"/>
    <n v="73"/>
    <n v="1"/>
    <m/>
    <s v="KA"/>
    <s v="KA"/>
    <m/>
  </r>
  <r>
    <s v="C40"/>
    <x v="0"/>
    <n v="8099389567"/>
    <n v="475825571"/>
    <x v="30"/>
    <s v="Arjun Kapoor"/>
    <n v="1000000011"/>
    <x v="1"/>
    <n v="1"/>
    <x v="0"/>
    <n v="1"/>
    <n v="1"/>
    <x v="0"/>
    <n v="1"/>
    <x v="1"/>
    <d v="2026-08-02T13:29:45"/>
    <d v="2026-08-02T13:35:28"/>
    <n v="344"/>
    <n v="0"/>
    <n v="2.4"/>
    <s v="KA"/>
    <s v="KA"/>
    <m/>
  </r>
  <r>
    <s v="C41"/>
    <x v="0"/>
    <n v="8099389567"/>
    <n v="896686854"/>
    <x v="39"/>
    <s v="Simran Kaur"/>
    <n v="1000000028"/>
    <x v="1"/>
    <n v="1"/>
    <x v="0"/>
    <n v="1"/>
    <n v="1"/>
    <x v="0"/>
    <n v="1"/>
    <x v="1"/>
    <d v="2026-08-02T13:34:12"/>
    <d v="2026-08-02T13:45:02"/>
    <n v="651"/>
    <n v="0"/>
    <n v="4.4000000000000004"/>
    <s v="KA"/>
    <s v="KA"/>
    <m/>
  </r>
  <r>
    <s v="C45"/>
    <x v="0"/>
    <n v="8099389567"/>
    <n v="807021618"/>
    <x v="11"/>
    <s v="Pooja Shah"/>
    <n v="1000000014"/>
    <x v="0"/>
    <n v="0"/>
    <x v="0"/>
    <n v="0"/>
    <n v="1"/>
    <x v="0"/>
    <n v="0"/>
    <x v="1"/>
    <d v="2026-08-02T14:09:45"/>
    <d v="2026-08-02T14:09:47"/>
    <n v="3"/>
    <n v="0"/>
    <m/>
    <s v="KA"/>
    <s v="KA"/>
    <m/>
  </r>
  <r>
    <s v="C47"/>
    <x v="0"/>
    <n v="8099389567"/>
    <n v="648826840"/>
    <x v="7"/>
    <s v="Rahul Verma"/>
    <n v="1000000007"/>
    <x v="1"/>
    <n v="1"/>
    <x v="0"/>
    <n v="1"/>
    <n v="1"/>
    <x v="0"/>
    <n v="1"/>
    <x v="1"/>
    <d v="2026-08-02T14:29:36"/>
    <d v="2026-08-02T14:31:26"/>
    <n v="111"/>
    <n v="0"/>
    <n v="0.8"/>
    <s v="KA"/>
    <s v="KA"/>
    <m/>
  </r>
  <r>
    <s v="C49"/>
    <x v="0"/>
    <n v="8099389567"/>
    <n v="414700804"/>
    <x v="23"/>
    <s v="Manish Arora"/>
    <n v="1000000025"/>
    <x v="2"/>
    <n v="0"/>
    <x v="0"/>
    <n v="0"/>
    <n v="1"/>
    <x v="0"/>
    <n v="0"/>
    <x v="1"/>
    <d v="2026-08-02T14:47:11"/>
    <d v="2026-08-02T14:48:00"/>
    <n v="51"/>
    <n v="1"/>
    <m/>
    <s v="MU"/>
    <s v="KA"/>
    <m/>
  </r>
  <r>
    <s v="C52"/>
    <x v="0"/>
    <n v="8099389567"/>
    <n v="423783481"/>
    <x v="32"/>
    <s v="Harsh Vora"/>
    <n v="1000000023"/>
    <x v="1"/>
    <n v="1"/>
    <x v="0"/>
    <n v="1"/>
    <n v="1"/>
    <x v="0"/>
    <n v="1"/>
    <x v="1"/>
    <d v="2026-08-02T15:39:10"/>
    <d v="2026-08-02T15:44:20"/>
    <n v="317"/>
    <n v="0"/>
    <n v="2"/>
    <s v="KA"/>
    <s v="KA"/>
    <m/>
  </r>
  <r>
    <s v="C54"/>
    <x v="0"/>
    <n v="8099389567"/>
    <n v="742747614"/>
    <x v="10"/>
    <s v="Rohan Das"/>
    <n v="1000000017"/>
    <x v="1"/>
    <n v="1"/>
    <x v="0"/>
    <n v="1"/>
    <n v="1"/>
    <x v="0"/>
    <n v="1"/>
    <x v="1"/>
    <d v="2026-08-02T16:05:35"/>
    <d v="2026-08-02T16:08:04"/>
    <n v="150"/>
    <n v="0"/>
    <n v="0.8"/>
    <s v="DL"/>
    <s v="KA"/>
    <m/>
  </r>
  <r>
    <s v="C55"/>
    <x v="0"/>
    <n v="8099389567"/>
    <n v="630930776"/>
    <x v="4"/>
    <s v="Vikram Patel"/>
    <n v="1000000003"/>
    <x v="1"/>
    <n v="1"/>
    <x v="0"/>
    <n v="1"/>
    <n v="1"/>
    <x v="0"/>
    <n v="1"/>
    <x v="1"/>
    <d v="2026-08-02T16:34:33"/>
    <d v="2026-08-02T16:57:12"/>
    <n v="1359"/>
    <n v="0"/>
    <n v="9.1999999999999993"/>
    <s v="KA"/>
    <s v="KA"/>
    <m/>
  </r>
  <r>
    <s v="C56"/>
    <x v="0"/>
    <n v="8099389567"/>
    <n v="405261092"/>
    <x v="32"/>
    <s v="Nandini Bose"/>
    <n v="1000000030"/>
    <x v="2"/>
    <n v="0"/>
    <x v="0"/>
    <n v="0"/>
    <n v="1"/>
    <x v="0"/>
    <n v="0"/>
    <x v="1"/>
    <d v="2026-08-02T16:40:29"/>
    <d v="2026-08-02T16:40:56"/>
    <n v="28"/>
    <n v="1"/>
    <m/>
    <m/>
    <s v="KA"/>
    <m/>
  </r>
  <r>
    <s v="C57"/>
    <x v="0"/>
    <n v="8099389567"/>
    <n v="874667560"/>
    <x v="8"/>
    <s v="Amit Khanna"/>
    <n v="1000000035"/>
    <x v="2"/>
    <n v="0"/>
    <x v="0"/>
    <n v="0"/>
    <n v="1"/>
    <x v="0"/>
    <n v="0"/>
    <x v="1"/>
    <d v="2026-08-02T21:17:35"/>
    <d v="2026-08-02T21:18:01"/>
    <n v="32"/>
    <n v="1"/>
    <m/>
    <s v="KA"/>
    <s v="KA"/>
    <m/>
  </r>
  <r>
    <s v="C58"/>
    <x v="0"/>
    <n v="8099389567"/>
    <n v="847448970"/>
    <x v="5"/>
    <s v="Sneha Reddy"/>
    <n v="1000000008"/>
    <x v="1"/>
    <n v="1"/>
    <x v="0"/>
    <n v="1"/>
    <n v="1"/>
    <x v="0"/>
    <n v="1"/>
    <x v="1"/>
    <d v="2026-08-02T21:24:41"/>
    <d v="2026-08-02T21:37:29"/>
    <n v="769"/>
    <n v="0"/>
    <n v="4.4000000000000004"/>
    <s v="KA"/>
    <s v="KA"/>
    <m/>
  </r>
  <r>
    <s v="C59"/>
    <x v="0"/>
    <n v="8099389567"/>
    <n v="237706242"/>
    <x v="21"/>
    <s v="Manish Arora"/>
    <n v="1000000025"/>
    <x v="0"/>
    <n v="0"/>
    <x v="0"/>
    <n v="0"/>
    <n v="1"/>
    <x v="0"/>
    <n v="0"/>
    <x v="1"/>
    <d v="2026-08-02T21:37:32"/>
    <d v="2026-08-02T21:37:36"/>
    <n v="4"/>
    <n v="0"/>
    <m/>
    <s v="MU"/>
    <s v="KA"/>
    <m/>
  </r>
  <r>
    <s v="C60"/>
    <x v="0"/>
    <n v="8099389567"/>
    <n v="315731849"/>
    <x v="26"/>
    <s v="Priya Iyer"/>
    <n v="1000000006"/>
    <x v="2"/>
    <n v="0"/>
    <x v="0"/>
    <n v="0"/>
    <n v="1"/>
    <x v="0"/>
    <n v="0"/>
    <x v="1"/>
    <d v="2026-08-02T22:23:36"/>
    <d v="2026-08-02T22:24:31"/>
    <n v="56"/>
    <n v="1"/>
    <m/>
    <s v="KA"/>
    <s v="KA"/>
    <m/>
  </r>
  <r>
    <s v="C62"/>
    <x v="0"/>
    <n v="8099389567"/>
    <n v="350608537"/>
    <x v="6"/>
    <s v="Siddharth Mishra"/>
    <n v="1000000019"/>
    <x v="1"/>
    <n v="1"/>
    <x v="0"/>
    <n v="1"/>
    <n v="1"/>
    <x v="0"/>
    <n v="1"/>
    <x v="0"/>
    <d v="2026-08-03T10:24:53"/>
    <d v="2026-08-03T10:27:41"/>
    <n v="169"/>
    <n v="0"/>
    <n v="0.8"/>
    <s v="KA"/>
    <s v="KA"/>
    <m/>
  </r>
  <r>
    <s v="C63"/>
    <x v="0"/>
    <n v="8099389567"/>
    <n v="705855313"/>
    <x v="12"/>
    <s v="Anjali Prasad"/>
    <n v="1000000040"/>
    <x v="1"/>
    <n v="1"/>
    <x v="0"/>
    <n v="1"/>
    <n v="1"/>
    <x v="0"/>
    <n v="1"/>
    <x v="0"/>
    <d v="2026-08-03T10:53:02"/>
    <d v="2026-08-03T10:57:02"/>
    <n v="242"/>
    <n v="0"/>
    <n v="1.6"/>
    <s v="KA"/>
    <s v="KA"/>
    <m/>
  </r>
  <r>
    <s v="C81"/>
    <x v="0"/>
    <n v="8099389567"/>
    <n v="864327596"/>
    <x v="12"/>
    <s v="Pooja Shah"/>
    <n v="1000000014"/>
    <x v="2"/>
    <n v="0"/>
    <x v="0"/>
    <n v="0"/>
    <n v="1"/>
    <x v="0"/>
    <n v="0"/>
    <x v="0"/>
    <d v="2026-08-03T11:45:49"/>
    <d v="2026-08-03T11:46:19"/>
    <n v="31"/>
    <n v="1"/>
    <m/>
    <s v="MU"/>
    <s v="KA"/>
    <m/>
  </r>
  <r>
    <s v="C83"/>
    <x v="0"/>
    <n v="8099389567"/>
    <n v="304645515"/>
    <x v="35"/>
    <s v="Karan Malhotra"/>
    <n v="1000000005"/>
    <x v="2"/>
    <n v="0"/>
    <x v="0"/>
    <n v="0"/>
    <n v="1"/>
    <x v="0"/>
    <n v="0"/>
    <x v="0"/>
    <d v="2026-08-03T11:47:24"/>
    <d v="2026-08-03T11:48:03"/>
    <n v="40"/>
    <n v="1"/>
    <m/>
    <s v="KA"/>
    <s v="KA"/>
    <m/>
  </r>
  <r>
    <s v="C90"/>
    <x v="0"/>
    <n v="8099389567"/>
    <n v="900605377"/>
    <x v="9"/>
    <s v="Manish Arora"/>
    <n v="1000000025"/>
    <x v="0"/>
    <n v="0"/>
    <x v="0"/>
    <n v="0"/>
    <n v="1"/>
    <x v="0"/>
    <n v="0"/>
    <x v="0"/>
    <d v="2026-08-03T11:51:15"/>
    <d v="2026-08-03T11:51:35"/>
    <n v="20"/>
    <n v="0"/>
    <m/>
    <s v="TN"/>
    <s v="KA"/>
    <m/>
  </r>
  <r>
    <s v="C96"/>
    <x v="0"/>
    <n v="8099389567"/>
    <n v="964072235"/>
    <x v="30"/>
    <s v="Varun Singh"/>
    <n v="1000000015"/>
    <x v="1"/>
    <n v="1"/>
    <x v="0"/>
    <n v="1"/>
    <n v="1"/>
    <x v="0"/>
    <n v="1"/>
    <x v="0"/>
    <d v="2026-08-03T12:12:00"/>
    <d v="2026-08-03T12:14:26"/>
    <n v="147"/>
    <n v="0"/>
    <n v="0.8"/>
    <s v="KA"/>
    <s v="KA"/>
    <m/>
  </r>
  <r>
    <s v="C100"/>
    <x v="1"/>
    <n v="8099389567"/>
    <n v="857733273"/>
    <x v="27"/>
    <s v="Tanvi Kulkarni"/>
    <n v="1000000018"/>
    <x v="3"/>
    <n v="0"/>
    <x v="0"/>
    <n v="0"/>
    <n v="0"/>
    <x v="1"/>
    <n v="0"/>
    <x v="0"/>
    <d v="2026-08-03T12:20:29"/>
    <d v="2026-08-03T12:20:46"/>
    <n v="7"/>
    <n v="1"/>
    <m/>
    <s v="KA"/>
    <s v="GJ"/>
    <m/>
  </r>
  <r>
    <s v="C101"/>
    <x v="1"/>
    <n v="8099389567"/>
    <n v="124531261"/>
    <x v="25"/>
    <s v="Karan Malhotra"/>
    <n v="1000000005"/>
    <x v="3"/>
    <n v="0"/>
    <x v="0"/>
    <n v="0"/>
    <n v="0"/>
    <x v="1"/>
    <n v="0"/>
    <x v="0"/>
    <d v="2026-08-03T12:20:57"/>
    <d v="2026-08-03T12:21:18"/>
    <n v="21"/>
    <n v="1"/>
    <n v="0.4"/>
    <s v="KA"/>
    <s v="AP"/>
    <m/>
  </r>
  <r>
    <s v="C102"/>
    <x v="1"/>
    <n v="8099389567"/>
    <n v="937476439"/>
    <x v="2"/>
    <s v="Pooja Shah"/>
    <n v="1000000014"/>
    <x v="1"/>
    <n v="1"/>
    <x v="0"/>
    <n v="1"/>
    <n v="0"/>
    <x v="1"/>
    <n v="0"/>
    <x v="0"/>
    <d v="2026-08-03T12:21:36"/>
    <d v="2026-08-03T12:22:21"/>
    <n v="45"/>
    <n v="0"/>
    <n v="1.1499999999999999"/>
    <s v="KA"/>
    <s v="TN"/>
    <m/>
  </r>
  <r>
    <s v="C103"/>
    <x v="1"/>
    <n v="8099389567"/>
    <n v="562206089"/>
    <x v="25"/>
    <s v="Sanjay Oberoi"/>
    <n v="1000000037"/>
    <x v="1"/>
    <n v="1"/>
    <x v="0"/>
    <n v="1"/>
    <n v="0"/>
    <x v="1"/>
    <n v="0"/>
    <x v="0"/>
    <d v="2026-08-03T12:22:38"/>
    <d v="2026-08-03T12:23:13"/>
    <n v="36"/>
    <n v="0"/>
    <n v="1.1499999999999999"/>
    <s v="KA"/>
    <s v="MU"/>
    <m/>
  </r>
  <r>
    <s v="C104"/>
    <x v="1"/>
    <n v="8099389567"/>
    <n v="435843588"/>
    <x v="15"/>
    <s v="Akash Yadav"/>
    <n v="1000000021"/>
    <x v="3"/>
    <n v="0"/>
    <x v="0"/>
    <n v="0"/>
    <n v="0"/>
    <x v="1"/>
    <n v="0"/>
    <x v="0"/>
    <d v="2026-08-03T12:23:23"/>
    <d v="2026-08-03T12:23:42"/>
    <n v="18"/>
    <n v="1"/>
    <n v="0.4"/>
    <s v="KA"/>
    <s v="KA"/>
    <m/>
  </r>
  <r>
    <s v="C106"/>
    <x v="1"/>
    <n v="8099389567"/>
    <n v="45017450"/>
    <x v="32"/>
    <s v="Sakshi Desai"/>
    <n v="1000000032"/>
    <x v="1"/>
    <n v="1"/>
    <x v="0"/>
    <n v="1"/>
    <n v="0"/>
    <x v="1"/>
    <n v="0"/>
    <x v="0"/>
    <d v="2026-08-03T12:24:00"/>
    <d v="2026-08-03T12:24:51"/>
    <n v="51"/>
    <n v="0"/>
    <n v="1.1499999999999999"/>
    <s v="KA"/>
    <s v="MU"/>
    <m/>
  </r>
  <r>
    <s v="C107"/>
    <x v="1"/>
    <n v="8099389567"/>
    <n v="412968911"/>
    <x v="29"/>
    <s v="Aditi Ghosh"/>
    <n v="1000000026"/>
    <x v="1"/>
    <n v="1"/>
    <x v="0"/>
    <n v="1"/>
    <n v="0"/>
    <x v="1"/>
    <n v="0"/>
    <x v="0"/>
    <d v="2026-08-03T12:25:22"/>
    <d v="2026-08-03T12:26:20"/>
    <n v="51"/>
    <n v="0"/>
    <m/>
    <s v="KA"/>
    <s v="AP"/>
    <m/>
  </r>
  <r>
    <s v="C108"/>
    <x v="1"/>
    <n v="8099389567"/>
    <n v="481336881"/>
    <x v="34"/>
    <s v="Nandini Bose"/>
    <n v="1000000030"/>
    <x v="3"/>
    <n v="0"/>
    <x v="0"/>
    <n v="0"/>
    <n v="0"/>
    <x v="1"/>
    <n v="0"/>
    <x v="0"/>
    <d v="2026-08-03T12:26:42"/>
    <d v="2026-08-03T12:27:01"/>
    <n v="19"/>
    <n v="1"/>
    <n v="0.4"/>
    <s v="KA"/>
    <s v="MU"/>
    <m/>
  </r>
  <r>
    <s v="C109"/>
    <x v="1"/>
    <n v="8099389567"/>
    <n v="989866400"/>
    <x v="17"/>
    <s v="Meera Joshi"/>
    <n v="1000000010"/>
    <x v="4"/>
    <n v="0"/>
    <x v="0"/>
    <n v="0"/>
    <n v="0"/>
    <x v="1"/>
    <n v="0"/>
    <x v="0"/>
    <d v="2026-08-03T12:27:14"/>
    <d v="2026-08-03T12:27:56"/>
    <n v="42"/>
    <n v="1"/>
    <n v="0.4"/>
    <s v="KA"/>
    <s v="KA"/>
    <m/>
  </r>
  <r>
    <s v="C110"/>
    <x v="1"/>
    <n v="8099389567"/>
    <n v="182771469"/>
    <x v="27"/>
    <s v="Rohan Das"/>
    <n v="1000000017"/>
    <x v="3"/>
    <n v="0"/>
    <x v="0"/>
    <n v="0"/>
    <n v="0"/>
    <x v="1"/>
    <n v="0"/>
    <x v="0"/>
    <d v="2026-08-03T12:28:09"/>
    <d v="2026-08-03T12:28:26"/>
    <n v="11"/>
    <n v="1"/>
    <m/>
    <s v="KA"/>
    <s v="AP"/>
    <m/>
  </r>
  <r>
    <s v="C113"/>
    <x v="1"/>
    <n v="8099389567"/>
    <n v="255902264"/>
    <x v="21"/>
    <s v="Kriti Dutta"/>
    <n v="1000000036"/>
    <x v="4"/>
    <n v="0"/>
    <x v="0"/>
    <n v="0"/>
    <n v="0"/>
    <x v="1"/>
    <n v="0"/>
    <x v="0"/>
    <d v="2026-08-03T12:29:13"/>
    <d v="2026-08-03T12:29:54"/>
    <n v="41"/>
    <n v="1"/>
    <n v="0.4"/>
    <s v="KA"/>
    <s v="MH"/>
    <m/>
  </r>
  <r>
    <s v="C114"/>
    <x v="1"/>
    <n v="8099389567"/>
    <n v="944859287"/>
    <x v="27"/>
    <s v="Amit Khanna"/>
    <n v="1000000035"/>
    <x v="1"/>
    <n v="1"/>
    <x v="0"/>
    <n v="1"/>
    <n v="0"/>
    <x v="1"/>
    <n v="0"/>
    <x v="0"/>
    <d v="2026-08-03T12:30:09"/>
    <d v="2026-08-03T12:31:39"/>
    <n v="90"/>
    <n v="0"/>
    <n v="2.2999999999999998"/>
    <s v="KA"/>
    <s v="AP"/>
    <m/>
  </r>
  <r>
    <s v="C116"/>
    <x v="1"/>
    <n v="8099389567"/>
    <n v="89737155"/>
    <x v="8"/>
    <s v="Nisha Shetty"/>
    <n v="1000000038"/>
    <x v="4"/>
    <n v="0"/>
    <x v="0"/>
    <n v="0"/>
    <n v="0"/>
    <x v="1"/>
    <n v="0"/>
    <x v="0"/>
    <d v="2026-08-03T12:31:56"/>
    <d v="2026-08-03T12:32:45"/>
    <n v="48"/>
    <n v="1"/>
    <n v="0.4"/>
    <s v="KA"/>
    <s v="MH"/>
    <m/>
  </r>
  <r>
    <s v="C118"/>
    <x v="1"/>
    <n v="8099389567"/>
    <n v="865484941"/>
    <x v="1"/>
    <s v="Nisha Shetty"/>
    <n v="1000000038"/>
    <x v="3"/>
    <n v="0"/>
    <x v="0"/>
    <n v="0"/>
    <n v="0"/>
    <x v="1"/>
    <n v="0"/>
    <x v="0"/>
    <d v="2026-08-03T12:59:25"/>
    <d v="2026-08-03T12:59:51"/>
    <n v="27"/>
    <n v="1"/>
    <n v="0.4"/>
    <s v="KA"/>
    <s v="MH"/>
    <m/>
  </r>
  <r>
    <s v="C119"/>
    <x v="1"/>
    <n v="8099389567"/>
    <n v="373966562"/>
    <x v="37"/>
    <s v="Aditi Ghosh"/>
    <n v="1000000026"/>
    <x v="1"/>
    <n v="1"/>
    <x v="0"/>
    <n v="1"/>
    <n v="0"/>
    <x v="1"/>
    <n v="0"/>
    <x v="0"/>
    <d v="2026-08-03T12:59:59"/>
    <d v="2026-08-03T13:01:34"/>
    <n v="95"/>
    <n v="0"/>
    <n v="2.2999999999999998"/>
    <s v="KA"/>
    <s v="MU"/>
    <m/>
  </r>
  <r>
    <s v="C12"/>
    <x v="1"/>
    <n v="8099389567"/>
    <n v="807444497"/>
    <x v="13"/>
    <s v="Sneha Reddy"/>
    <n v="1000000008"/>
    <x v="5"/>
    <n v="0"/>
    <x v="0"/>
    <n v="0"/>
    <n v="0"/>
    <x v="1"/>
    <n v="0"/>
    <x v="1"/>
    <d v="2026-08-02T08:29:49"/>
    <d v="2026-08-02T08:30:17"/>
    <n v="28"/>
    <n v="0"/>
    <m/>
    <s v="KA"/>
    <s v="KA"/>
    <m/>
  </r>
  <r>
    <s v="C120"/>
    <x v="1"/>
    <n v="8099389567"/>
    <n v="378044744"/>
    <x v="20"/>
    <s v="Shreya Pillai"/>
    <n v="1000000024"/>
    <x v="4"/>
    <n v="0"/>
    <x v="0"/>
    <n v="0"/>
    <n v="0"/>
    <x v="1"/>
    <n v="0"/>
    <x v="0"/>
    <d v="2026-08-03T13:03:16"/>
    <d v="2026-08-03T13:03:57"/>
    <n v="42"/>
    <n v="1"/>
    <n v="0.4"/>
    <s v="KA"/>
    <s v="MH"/>
    <m/>
  </r>
  <r>
    <s v="C121"/>
    <x v="1"/>
    <n v="8099389567"/>
    <n v="190169882"/>
    <x v="11"/>
    <s v="Varun Singh"/>
    <n v="1000000015"/>
    <x v="3"/>
    <n v="0"/>
    <x v="0"/>
    <n v="0"/>
    <n v="0"/>
    <x v="1"/>
    <n v="0"/>
    <x v="0"/>
    <d v="2026-08-03T13:04:12"/>
    <d v="2026-08-03T13:04:43"/>
    <n v="30"/>
    <n v="1"/>
    <n v="0.4"/>
    <s v="KA"/>
    <s v="AP"/>
    <m/>
  </r>
  <r>
    <s v="C122"/>
    <x v="1"/>
    <n v="8099389567"/>
    <n v="594542641"/>
    <x v="36"/>
    <s v="Aditya Rao"/>
    <n v="1000000009"/>
    <x v="3"/>
    <n v="0"/>
    <x v="0"/>
    <n v="0"/>
    <n v="0"/>
    <x v="1"/>
    <n v="0"/>
    <x v="0"/>
    <d v="2026-08-03T13:04:54"/>
    <d v="2026-08-03T13:05:12"/>
    <n v="15"/>
    <n v="1"/>
    <n v="0.4"/>
    <s v="KA"/>
    <s v="AP"/>
    <m/>
  </r>
  <r>
    <s v="C123"/>
    <x v="1"/>
    <n v="8099389567"/>
    <n v="162410213"/>
    <x v="18"/>
    <s v="Gaurav Bansal"/>
    <n v="1000000033"/>
    <x v="1"/>
    <n v="1"/>
    <x v="0"/>
    <n v="1"/>
    <n v="0"/>
    <x v="1"/>
    <n v="0"/>
    <x v="0"/>
    <d v="2026-08-03T13:05:23"/>
    <d v="2026-08-03T13:06:04"/>
    <n v="30"/>
    <n v="0"/>
    <m/>
    <s v="KA"/>
    <s v="GJ"/>
    <m/>
  </r>
  <r>
    <s v="C124"/>
    <x v="1"/>
    <n v="8099389567"/>
    <n v="869430236"/>
    <x v="30"/>
    <s v="Sakshi Desai"/>
    <n v="1000000032"/>
    <x v="1"/>
    <n v="1"/>
    <x v="0"/>
    <n v="1"/>
    <n v="0"/>
    <x v="1"/>
    <n v="0"/>
    <x v="0"/>
    <d v="2026-08-03T13:06:39"/>
    <d v="2026-08-03T13:07:13"/>
    <n v="33"/>
    <n v="0"/>
    <n v="1.1499999999999999"/>
    <s v="KA"/>
    <s v="MU"/>
    <m/>
  </r>
  <r>
    <s v="C13"/>
    <x v="1"/>
    <n v="8099389567"/>
    <n v="102247021"/>
    <x v="6"/>
    <s v="Riya Mehta"/>
    <n v="1000000002"/>
    <x v="3"/>
    <n v="0"/>
    <x v="0"/>
    <n v="0"/>
    <n v="0"/>
    <x v="1"/>
    <n v="0"/>
    <x v="1"/>
    <d v="2026-08-02T08:30:27"/>
    <d v="2026-08-02T08:30:49"/>
    <n v="22"/>
    <n v="1"/>
    <n v="0.4"/>
    <s v="KA"/>
    <s v="KA"/>
    <m/>
  </r>
  <r>
    <s v="C130"/>
    <x v="1"/>
    <n v="8099389567"/>
    <n v="374776966"/>
    <x v="29"/>
    <s v="Simran Kaur"/>
    <n v="1000000028"/>
    <x v="3"/>
    <n v="0"/>
    <x v="0"/>
    <n v="0"/>
    <n v="0"/>
    <x v="1"/>
    <n v="0"/>
    <x v="0"/>
    <d v="2026-08-03T14:07:33"/>
    <d v="2026-08-03T14:07:55"/>
    <n v="22"/>
    <n v="1"/>
    <n v="0.4"/>
    <s v="KA"/>
    <s v="KA"/>
    <m/>
  </r>
  <r>
    <s v="C131"/>
    <x v="1"/>
    <n v="8099389567"/>
    <n v="63429952"/>
    <x v="1"/>
    <s v="Rohit Bedi"/>
    <n v="1000000039"/>
    <x v="1"/>
    <n v="1"/>
    <x v="0"/>
    <n v="1"/>
    <n v="0"/>
    <x v="1"/>
    <n v="0"/>
    <x v="0"/>
    <d v="2026-08-03T14:08:19"/>
    <d v="2026-08-03T14:10:14"/>
    <n v="115"/>
    <n v="0"/>
    <n v="1.6"/>
    <s v="KA"/>
    <s v="KA"/>
    <m/>
  </r>
  <r>
    <s v="C132"/>
    <x v="1"/>
    <n v="8099389567"/>
    <n v="178183654"/>
    <x v="5"/>
    <s v="Karan Malhotra"/>
    <n v="1000000005"/>
    <x v="3"/>
    <n v="0"/>
    <x v="0"/>
    <n v="0"/>
    <n v="0"/>
    <x v="1"/>
    <n v="0"/>
    <x v="0"/>
    <d v="2026-08-03T14:11:22"/>
    <d v="2026-08-03T14:11:42"/>
    <n v="20"/>
    <n v="1"/>
    <n v="0.4"/>
    <s v="KA"/>
    <s v="KA"/>
    <m/>
  </r>
  <r>
    <s v="C133"/>
    <x v="1"/>
    <n v="8099389567"/>
    <n v="860792222"/>
    <x v="37"/>
    <s v="Manish Arora"/>
    <n v="1000000025"/>
    <x v="1"/>
    <n v="1"/>
    <x v="0"/>
    <n v="1"/>
    <n v="0"/>
    <x v="1"/>
    <n v="0"/>
    <x v="0"/>
    <d v="2026-08-03T14:12:22"/>
    <d v="2026-08-03T14:13:00"/>
    <n v="38"/>
    <n v="0"/>
    <n v="1.1499999999999999"/>
    <s v="KA"/>
    <s v="AP"/>
    <m/>
  </r>
  <r>
    <s v="C134"/>
    <x v="1"/>
    <n v="8099389567"/>
    <n v="162935980"/>
    <x v="18"/>
    <s v="Manish Arora"/>
    <n v="1000000025"/>
    <x v="1"/>
    <n v="1"/>
    <x v="0"/>
    <n v="1"/>
    <n v="0"/>
    <x v="1"/>
    <n v="0"/>
    <x v="0"/>
    <d v="2026-08-03T14:13:35"/>
    <d v="2026-08-03T14:14:39"/>
    <n v="65"/>
    <n v="0"/>
    <n v="1.1499999999999999"/>
    <s v="KA"/>
    <s v="MU"/>
    <m/>
  </r>
  <r>
    <s v="C135"/>
    <x v="1"/>
    <n v="8099389567"/>
    <n v="896635850"/>
    <x v="3"/>
    <s v="Rohit Bedi"/>
    <n v="1000000039"/>
    <x v="3"/>
    <n v="0"/>
    <x v="0"/>
    <n v="0"/>
    <n v="0"/>
    <x v="1"/>
    <n v="0"/>
    <x v="0"/>
    <d v="2026-08-03T14:15:26"/>
    <d v="2026-08-03T14:15:45"/>
    <n v="19"/>
    <n v="1"/>
    <n v="0.4"/>
    <s v="KA"/>
    <s v="KA"/>
    <m/>
  </r>
  <r>
    <s v="C136"/>
    <x v="1"/>
    <n v="8099389567"/>
    <n v="262620759"/>
    <x v="12"/>
    <s v="Nandini Bose"/>
    <n v="1000000030"/>
    <x v="1"/>
    <n v="1"/>
    <x v="0"/>
    <n v="1"/>
    <n v="0"/>
    <x v="1"/>
    <n v="0"/>
    <x v="0"/>
    <d v="2026-08-03T14:15:59"/>
    <d v="2026-08-03T14:18:52"/>
    <n v="174"/>
    <n v="0"/>
    <n v="2.4"/>
    <s v="KA"/>
    <s v="KA"/>
    <m/>
  </r>
  <r>
    <s v="C139"/>
    <x v="1"/>
    <n v="8099389567"/>
    <n v="777689739"/>
    <x v="4"/>
    <s v="Kriti Dutta"/>
    <n v="1000000036"/>
    <x v="1"/>
    <n v="1"/>
    <x v="0"/>
    <n v="1"/>
    <n v="0"/>
    <x v="1"/>
    <n v="0"/>
    <x v="0"/>
    <d v="2026-08-03T14:19:46"/>
    <d v="2026-08-03T14:20:45"/>
    <n v="60"/>
    <n v="0"/>
    <n v="1.1499999999999999"/>
    <s v="KA"/>
    <s v="AP"/>
    <m/>
  </r>
  <r>
    <s v="C142"/>
    <x v="1"/>
    <n v="8099389567"/>
    <n v="544123186"/>
    <x v="30"/>
    <s v="Amit Khanna"/>
    <n v="1000000035"/>
    <x v="4"/>
    <n v="0"/>
    <x v="0"/>
    <n v="0"/>
    <n v="0"/>
    <x v="1"/>
    <n v="0"/>
    <x v="0"/>
    <d v="2026-08-03T15:18:05"/>
    <d v="2026-08-03T15:18:53"/>
    <n v="48"/>
    <n v="1"/>
    <n v="0.4"/>
    <s v="KA"/>
    <s v="AP"/>
    <m/>
  </r>
  <r>
    <s v="C145"/>
    <x v="1"/>
    <n v="8099389567"/>
    <n v="381954244"/>
    <x v="17"/>
    <s v="Sneha Reddy"/>
    <n v="1000000008"/>
    <x v="1"/>
    <n v="1"/>
    <x v="0"/>
    <n v="1"/>
    <n v="0"/>
    <x v="1"/>
    <n v="0"/>
    <x v="0"/>
    <d v="2026-08-03T15:49:19"/>
    <d v="2026-08-03T15:49:53"/>
    <n v="35"/>
    <n v="0"/>
    <n v="0.8"/>
    <s v="KA"/>
    <s v="KA"/>
    <m/>
  </r>
  <r>
    <s v="C146"/>
    <x v="1"/>
    <n v="8099389567"/>
    <n v="489422881"/>
    <x v="7"/>
    <s v="Siddharth Mishra"/>
    <n v="1000000019"/>
    <x v="4"/>
    <n v="0"/>
    <x v="0"/>
    <n v="0"/>
    <n v="0"/>
    <x v="1"/>
    <n v="0"/>
    <x v="0"/>
    <d v="2026-08-03T15:50:18"/>
    <d v="2026-08-03T15:51:00"/>
    <n v="42"/>
    <n v="1"/>
    <n v="0.4"/>
    <s v="KA"/>
    <s v="MU"/>
    <m/>
  </r>
  <r>
    <s v="C147"/>
    <x v="1"/>
    <n v="8099389567"/>
    <n v="408018286"/>
    <x v="16"/>
    <s v="Simran Kaur"/>
    <n v="1000000028"/>
    <x v="1"/>
    <n v="1"/>
    <x v="0"/>
    <n v="1"/>
    <n v="0"/>
    <x v="1"/>
    <n v="0"/>
    <x v="0"/>
    <d v="2026-08-03T15:51:15"/>
    <d v="2026-08-03T15:52:51"/>
    <n v="95"/>
    <n v="0"/>
    <n v="2.2999999999999998"/>
    <s v="KA"/>
    <s v="MU"/>
    <m/>
  </r>
  <r>
    <s v="C164"/>
    <x v="1"/>
    <n v="8099389567"/>
    <n v="466182307"/>
    <x v="10"/>
    <s v="Pallavi Naik"/>
    <n v="1000000034"/>
    <x v="4"/>
    <n v="0"/>
    <x v="0"/>
    <n v="0"/>
    <n v="0"/>
    <x v="1"/>
    <n v="0"/>
    <x v="0"/>
    <d v="2026-08-03T17:39:32"/>
    <d v="2026-08-03T17:40:14"/>
    <n v="43"/>
    <n v="1"/>
    <n v="0.4"/>
    <s v="KA"/>
    <s v="MU"/>
    <m/>
  </r>
  <r>
    <s v="C165"/>
    <x v="1"/>
    <n v="8099389567"/>
    <n v="746407416"/>
    <x v="36"/>
    <s v="Aarav Sharma"/>
    <n v="1000000001"/>
    <x v="1"/>
    <n v="1"/>
    <x v="0"/>
    <n v="1"/>
    <n v="0"/>
    <x v="1"/>
    <n v="0"/>
    <x v="0"/>
    <d v="2026-08-03T17:39:56"/>
    <d v="2026-08-03T17:41:37"/>
    <n v="102"/>
    <n v="0"/>
    <n v="2.2999999999999998"/>
    <s v="KA"/>
    <s v="TN"/>
    <m/>
  </r>
  <r>
    <s v="C166"/>
    <x v="1"/>
    <n v="8099389567"/>
    <n v="396201886"/>
    <x v="33"/>
    <s v="Rohit Bedi"/>
    <n v="1000000039"/>
    <x v="3"/>
    <n v="0"/>
    <x v="0"/>
    <n v="0"/>
    <n v="0"/>
    <x v="1"/>
    <n v="0"/>
    <x v="0"/>
    <d v="2026-08-03T17:40:34"/>
    <d v="2026-08-03T17:41:03"/>
    <n v="30"/>
    <n v="1"/>
    <n v="0.4"/>
    <s v="KA"/>
    <s v="RJ"/>
    <m/>
  </r>
  <r>
    <s v="C167"/>
    <x v="1"/>
    <n v="8099389567"/>
    <n v="598178264"/>
    <x v="30"/>
    <s v="Akash Yadav"/>
    <n v="1000000021"/>
    <x v="4"/>
    <n v="0"/>
    <x v="0"/>
    <n v="0"/>
    <n v="0"/>
    <x v="1"/>
    <n v="0"/>
    <x v="0"/>
    <d v="2026-08-03T17:41:20"/>
    <d v="2026-08-03T17:42:03"/>
    <n v="43"/>
    <n v="1"/>
    <n v="0.4"/>
    <s v="KA"/>
    <s v="KA"/>
    <m/>
  </r>
  <r>
    <s v="C168"/>
    <x v="1"/>
    <n v="8099389567"/>
    <n v="604374959"/>
    <x v="2"/>
    <s v="Sakshi Desai"/>
    <n v="1000000032"/>
    <x v="3"/>
    <n v="0"/>
    <x v="0"/>
    <n v="0"/>
    <n v="0"/>
    <x v="1"/>
    <n v="0"/>
    <x v="0"/>
    <d v="2026-08-03T17:42:56"/>
    <d v="2026-08-03T17:43:23"/>
    <n v="27"/>
    <n v="1"/>
    <n v="0.4"/>
    <s v="KA"/>
    <s v="AP"/>
    <m/>
  </r>
  <r>
    <s v="C170"/>
    <x v="1"/>
    <n v="8099389567"/>
    <n v="483753957"/>
    <x v="32"/>
    <s v="Sneha Reddy"/>
    <n v="1000000008"/>
    <x v="3"/>
    <n v="0"/>
    <x v="0"/>
    <n v="0"/>
    <n v="0"/>
    <x v="1"/>
    <n v="0"/>
    <x v="0"/>
    <d v="2026-08-03T17:43:38"/>
    <d v="2026-08-03T17:44:11"/>
    <n v="34"/>
    <n v="1"/>
    <n v="0.4"/>
    <s v="KA"/>
    <s v="MH"/>
    <m/>
  </r>
  <r>
    <s v="C171"/>
    <x v="1"/>
    <n v="8099389567"/>
    <n v="414283044"/>
    <x v="17"/>
    <s v="Shreya Pillai"/>
    <n v="1000000024"/>
    <x v="1"/>
    <n v="1"/>
    <x v="0"/>
    <n v="1"/>
    <n v="0"/>
    <x v="1"/>
    <n v="0"/>
    <x v="0"/>
    <d v="2026-08-03T17:44:15"/>
    <d v="2026-08-03T17:46:25"/>
    <n v="130"/>
    <n v="0"/>
    <n v="2.7"/>
    <s v="KA"/>
    <s v="AP"/>
    <m/>
  </r>
  <r>
    <s v="C174"/>
    <x v="1"/>
    <n v="8099389567"/>
    <n v="403005410"/>
    <x v="28"/>
    <s v="Ananya Nair"/>
    <n v="1000000004"/>
    <x v="3"/>
    <n v="0"/>
    <x v="0"/>
    <n v="0"/>
    <n v="0"/>
    <x v="1"/>
    <n v="0"/>
    <x v="0"/>
    <d v="2026-08-03T17:46:55"/>
    <d v="2026-08-03T17:47:26"/>
    <n v="31"/>
    <n v="1"/>
    <n v="0.4"/>
    <s v="KA"/>
    <s v="AP"/>
    <m/>
  </r>
  <r>
    <s v="C175"/>
    <x v="1"/>
    <n v="8099389567"/>
    <n v="387736390"/>
    <x v="21"/>
    <s v="Ishita Gupta"/>
    <n v="1000000016"/>
    <x v="3"/>
    <n v="0"/>
    <x v="0"/>
    <n v="0"/>
    <n v="0"/>
    <x v="1"/>
    <n v="0"/>
    <x v="0"/>
    <d v="2026-08-03T17:47:27"/>
    <d v="2026-08-03T17:48:00"/>
    <n v="33"/>
    <n v="1"/>
    <n v="0.4"/>
    <s v="KA"/>
    <s v="KA"/>
    <m/>
  </r>
  <r>
    <s v="C177"/>
    <x v="1"/>
    <n v="8099389567"/>
    <n v="702191670"/>
    <x v="38"/>
    <s v="Priya Iyer"/>
    <n v="1000000006"/>
    <x v="1"/>
    <n v="1"/>
    <x v="0"/>
    <n v="1"/>
    <n v="0"/>
    <x v="1"/>
    <n v="0"/>
    <x v="0"/>
    <d v="2026-08-03T17:48:13"/>
    <d v="2026-08-03T17:52:05"/>
    <n v="232"/>
    <n v="0"/>
    <n v="4.5999999999999996"/>
    <s v="KA"/>
    <s v="TN"/>
    <m/>
  </r>
  <r>
    <s v="C18"/>
    <x v="1"/>
    <n v="8099389567"/>
    <n v="697631364"/>
    <x v="7"/>
    <s v="Rahul Verma"/>
    <n v="1000000007"/>
    <x v="1"/>
    <n v="1"/>
    <x v="0"/>
    <n v="1"/>
    <n v="0"/>
    <x v="1"/>
    <n v="0"/>
    <x v="1"/>
    <d v="2026-08-02T09:23:21"/>
    <d v="2026-08-02T09:24:32"/>
    <n v="71"/>
    <n v="0"/>
    <n v="1.2"/>
    <s v="KA"/>
    <s v="KA"/>
    <m/>
  </r>
  <r>
    <s v="C182"/>
    <x v="1"/>
    <n v="8099389567"/>
    <n v="890005453"/>
    <x v="35"/>
    <s v="Aditya Rao"/>
    <n v="1000000009"/>
    <x v="1"/>
    <n v="1"/>
    <x v="0"/>
    <n v="1"/>
    <n v="0"/>
    <x v="1"/>
    <n v="0"/>
    <x v="0"/>
    <d v="2026-08-03T17:53:39"/>
    <d v="2026-08-03T17:54:00"/>
    <n v="21"/>
    <n v="0"/>
    <n v="1.1499999999999999"/>
    <s v="KA"/>
    <s v="GJ"/>
    <m/>
  </r>
  <r>
    <s v="C185"/>
    <x v="1"/>
    <n v="8099389567"/>
    <n v="489867317"/>
    <x v="32"/>
    <s v="Kriti Dutta"/>
    <n v="1000000036"/>
    <x v="3"/>
    <n v="0"/>
    <x v="0"/>
    <n v="0"/>
    <n v="0"/>
    <x v="1"/>
    <n v="0"/>
    <x v="0"/>
    <d v="2026-08-03T17:55:22"/>
    <d v="2026-08-03T17:55:40"/>
    <n v="19"/>
    <n v="1"/>
    <n v="0.4"/>
    <s v="KA"/>
    <s v="AP"/>
    <m/>
  </r>
  <r>
    <s v="C187"/>
    <x v="1"/>
    <n v="8099389567"/>
    <n v="148930854"/>
    <x v="21"/>
    <s v="Rohan Das"/>
    <n v="1000000017"/>
    <x v="4"/>
    <n v="0"/>
    <x v="0"/>
    <n v="0"/>
    <n v="0"/>
    <x v="1"/>
    <n v="0"/>
    <x v="0"/>
    <d v="2026-08-03T17:56:26"/>
    <d v="2026-08-03T17:57:09"/>
    <n v="44"/>
    <n v="1"/>
    <n v="0.4"/>
    <s v="KA"/>
    <s v="MU"/>
    <m/>
  </r>
  <r>
    <s v="C188"/>
    <x v="1"/>
    <n v="8099389567"/>
    <n v="378073936"/>
    <x v="24"/>
    <s v="Pallavi Naik"/>
    <n v="1000000034"/>
    <x v="1"/>
    <n v="1"/>
    <x v="0"/>
    <n v="1"/>
    <n v="0"/>
    <x v="1"/>
    <n v="0"/>
    <x v="0"/>
    <d v="2026-08-03T17:57:14"/>
    <d v="2026-08-03T17:58:19"/>
    <n v="65"/>
    <n v="0"/>
    <n v="1.55"/>
    <s v="KA"/>
    <s v="AP"/>
    <m/>
  </r>
  <r>
    <s v="C190"/>
    <x v="1"/>
    <n v="8099389567"/>
    <n v="490194034"/>
    <x v="22"/>
    <s v="Simran Kaur"/>
    <n v="1000000028"/>
    <x v="1"/>
    <n v="1"/>
    <x v="0"/>
    <n v="1"/>
    <n v="0"/>
    <x v="1"/>
    <n v="0"/>
    <x v="0"/>
    <d v="2026-08-03T17:58:40"/>
    <d v="2026-08-03T17:59:35"/>
    <n v="53"/>
    <n v="0"/>
    <n v="1.1499999999999999"/>
    <s v="KA"/>
    <s v="AP"/>
    <m/>
  </r>
  <r>
    <s v="C191"/>
    <x v="1"/>
    <n v="8099389567"/>
    <n v="11665090"/>
    <x v="4"/>
    <s v="Pooja Shah"/>
    <n v="1000000014"/>
    <x v="4"/>
    <n v="0"/>
    <x v="0"/>
    <n v="0"/>
    <n v="0"/>
    <x v="1"/>
    <n v="0"/>
    <x v="0"/>
    <d v="2026-08-03T18:00:28"/>
    <d v="2026-08-03T18:01:08"/>
    <n v="40"/>
    <n v="1"/>
    <n v="0.4"/>
    <s v="KA"/>
    <s v="AP"/>
    <m/>
  </r>
  <r>
    <s v="C192"/>
    <x v="1"/>
    <n v="8099389567"/>
    <n v="989201711"/>
    <x v="38"/>
    <s v="Amit Khanna"/>
    <n v="1000000035"/>
    <x v="4"/>
    <n v="0"/>
    <x v="0"/>
    <n v="0"/>
    <n v="0"/>
    <x v="1"/>
    <n v="0"/>
    <x v="0"/>
    <d v="2026-08-03T18:04:15"/>
    <d v="2026-08-03T18:04:59"/>
    <n v="42"/>
    <n v="1"/>
    <n v="0.4"/>
    <s v="KA"/>
    <s v="TN"/>
    <m/>
  </r>
  <r>
    <s v="C214"/>
    <x v="1"/>
    <n v="8099389567"/>
    <n v="617595776"/>
    <x v="39"/>
    <s v="Varun Singh"/>
    <n v="1000000015"/>
    <x v="1"/>
    <n v="1"/>
    <x v="0"/>
    <n v="1"/>
    <n v="0"/>
    <x v="1"/>
    <n v="0"/>
    <x v="2"/>
    <d v="2026-08-04T12:13:28"/>
    <d v="2026-08-04T12:13:50"/>
    <n v="21"/>
    <n v="0"/>
    <n v="1.1499999999999999"/>
    <s v="KA"/>
    <s v="MU"/>
    <m/>
  </r>
  <r>
    <s v="C217"/>
    <x v="1"/>
    <n v="8099389567"/>
    <n v="498924552"/>
    <x v="24"/>
    <s v="Divya Sethi"/>
    <n v="1000000022"/>
    <x v="3"/>
    <n v="0"/>
    <x v="0"/>
    <n v="0"/>
    <n v="0"/>
    <x v="1"/>
    <n v="0"/>
    <x v="2"/>
    <d v="2026-08-04T13:09:33"/>
    <d v="2026-08-04T13:10:04"/>
    <n v="31"/>
    <n v="1"/>
    <n v="0.4"/>
    <s v="KA"/>
    <s v="HR"/>
    <m/>
  </r>
  <r>
    <s v="C218"/>
    <x v="1"/>
    <n v="8099389567"/>
    <n v="593329944"/>
    <x v="39"/>
    <s v="Karan Malhotra"/>
    <n v="1000000005"/>
    <x v="4"/>
    <n v="0"/>
    <x v="0"/>
    <n v="0"/>
    <n v="0"/>
    <x v="1"/>
    <n v="0"/>
    <x v="2"/>
    <d v="2026-08-04T13:14:31"/>
    <d v="2026-08-04T13:15:15"/>
    <n v="43"/>
    <n v="1"/>
    <n v="0.4"/>
    <s v="KA"/>
    <s v="AS"/>
    <m/>
  </r>
  <r>
    <s v="C22"/>
    <x v="1"/>
    <n v="8099389567"/>
    <n v="489212279"/>
    <x v="34"/>
    <s v="Simran Kaur"/>
    <n v="1000000028"/>
    <x v="1"/>
    <n v="1"/>
    <x v="0"/>
    <n v="1"/>
    <n v="0"/>
    <x v="1"/>
    <n v="0"/>
    <x v="1"/>
    <d v="2026-08-02T10:21:49"/>
    <d v="2026-08-02T10:22:25"/>
    <n v="36"/>
    <n v="0"/>
    <n v="1.1499999999999999"/>
    <s v="KA"/>
    <s v="MU"/>
    <m/>
  </r>
  <r>
    <s v="C220"/>
    <x v="1"/>
    <n v="8099389567"/>
    <n v="36135060"/>
    <x v="13"/>
    <s v="Ishita Gupta"/>
    <n v="1000000016"/>
    <x v="4"/>
    <n v="0"/>
    <x v="0"/>
    <n v="0"/>
    <n v="0"/>
    <x v="1"/>
    <n v="0"/>
    <x v="2"/>
    <d v="2026-08-04T13:59:21"/>
    <d v="2026-08-04T14:00:04"/>
    <n v="44"/>
    <n v="1"/>
    <n v="0.4"/>
    <s v="KA"/>
    <s v="KA"/>
    <m/>
  </r>
  <r>
    <s v="C221"/>
    <x v="1"/>
    <n v="8099389567"/>
    <n v="856391389"/>
    <x v="29"/>
    <s v="Tanvi Kulkarni"/>
    <n v="1000000018"/>
    <x v="1"/>
    <n v="1"/>
    <x v="0"/>
    <n v="1"/>
    <n v="0"/>
    <x v="1"/>
    <n v="0"/>
    <x v="2"/>
    <d v="2026-08-04T14:03:01"/>
    <d v="2026-08-04T14:04:18"/>
    <n v="78"/>
    <n v="0"/>
    <n v="1.55"/>
    <s v="KA"/>
    <s v="PB"/>
    <m/>
  </r>
  <r>
    <s v="C222"/>
    <x v="1"/>
    <n v="8099389567"/>
    <n v="924940737"/>
    <x v="7"/>
    <s v="Sakshi Desai"/>
    <n v="1000000032"/>
    <x v="1"/>
    <n v="1"/>
    <x v="0"/>
    <n v="1"/>
    <n v="0"/>
    <x v="1"/>
    <n v="0"/>
    <x v="2"/>
    <d v="2026-08-04T14:17:18"/>
    <d v="2026-08-04T14:21:06"/>
    <n v="228"/>
    <n v="0"/>
    <n v="4.5999999999999996"/>
    <s v="KA"/>
    <s v="MP"/>
    <m/>
  </r>
  <r>
    <s v="C225"/>
    <x v="1"/>
    <n v="8099389567"/>
    <n v="970509431"/>
    <x v="34"/>
    <s v="Aditya Rao"/>
    <n v="1000000009"/>
    <x v="4"/>
    <n v="0"/>
    <x v="0"/>
    <n v="0"/>
    <n v="0"/>
    <x v="1"/>
    <n v="0"/>
    <x v="2"/>
    <d v="2026-08-04T15:09:03"/>
    <d v="2026-08-04T15:09:44"/>
    <n v="40"/>
    <n v="1"/>
    <n v="0.4"/>
    <s v="KA"/>
    <s v="WB"/>
    <m/>
  </r>
  <r>
    <s v="C226"/>
    <x v="1"/>
    <n v="8099389567"/>
    <n v="505662702"/>
    <x v="15"/>
    <s v="Sanjay Oberoi"/>
    <n v="1000000037"/>
    <x v="4"/>
    <n v="0"/>
    <x v="0"/>
    <n v="0"/>
    <n v="0"/>
    <x v="1"/>
    <n v="0"/>
    <x v="2"/>
    <d v="2026-08-04T15:14:15"/>
    <d v="2026-08-04T15:14:52"/>
    <n v="37"/>
    <n v="1"/>
    <n v="0.4"/>
    <s v="KA"/>
    <s v="KA"/>
    <m/>
  </r>
  <r>
    <s v="C227"/>
    <x v="1"/>
    <n v="8099389567"/>
    <n v="911306496"/>
    <x v="20"/>
    <s v="Sanjay Oberoi"/>
    <n v="1000000037"/>
    <x v="4"/>
    <n v="0"/>
    <x v="0"/>
    <n v="0"/>
    <n v="0"/>
    <x v="1"/>
    <n v="0"/>
    <x v="2"/>
    <d v="2026-08-04T16:04:23"/>
    <d v="2026-08-04T16:05:04"/>
    <n v="42"/>
    <n v="1"/>
    <n v="0.4"/>
    <s v="KA"/>
    <s v="KA"/>
    <m/>
  </r>
  <r>
    <s v="C229"/>
    <x v="1"/>
    <n v="8099389567"/>
    <n v="313437164"/>
    <x v="27"/>
    <s v="Ishita Gupta"/>
    <n v="1000000016"/>
    <x v="3"/>
    <n v="0"/>
    <x v="0"/>
    <n v="0"/>
    <n v="0"/>
    <x v="1"/>
    <n v="0"/>
    <x v="2"/>
    <d v="2026-08-04T16:06:32"/>
    <d v="2026-08-04T16:06:51"/>
    <n v="16"/>
    <n v="1"/>
    <n v="0.4"/>
    <s v="KA"/>
    <s v="MU"/>
    <m/>
  </r>
  <r>
    <s v="C23"/>
    <x v="1"/>
    <n v="8099389567"/>
    <n v="383626854"/>
    <x v="11"/>
    <s v="Vikram Patel"/>
    <n v="1000000003"/>
    <x v="4"/>
    <n v="0"/>
    <x v="0"/>
    <n v="0"/>
    <n v="0"/>
    <x v="1"/>
    <n v="0"/>
    <x v="1"/>
    <d v="2026-08-02T10:28:27"/>
    <d v="2026-08-02T10:29:11"/>
    <n v="44"/>
    <n v="1"/>
    <n v="0.4"/>
    <s v="KA"/>
    <s v="HR"/>
    <m/>
  </r>
  <r>
    <s v="C230"/>
    <x v="1"/>
    <n v="8099389567"/>
    <n v="883526655"/>
    <x v="22"/>
    <s v="Abhishek Roy"/>
    <n v="1000000031"/>
    <x v="4"/>
    <n v="0"/>
    <x v="0"/>
    <n v="0"/>
    <n v="0"/>
    <x v="1"/>
    <n v="0"/>
    <x v="2"/>
    <d v="2026-08-04T16:08:41"/>
    <d v="2026-08-04T16:09:23"/>
    <n v="41"/>
    <n v="1"/>
    <n v="0.4"/>
    <s v="KA"/>
    <s v="KA"/>
    <m/>
  </r>
  <r>
    <s v="C231"/>
    <x v="1"/>
    <n v="8099389567"/>
    <n v="897626354"/>
    <x v="6"/>
    <s v="Vivek Chawla"/>
    <n v="1000000027"/>
    <x v="3"/>
    <n v="0"/>
    <x v="0"/>
    <n v="0"/>
    <n v="0"/>
    <x v="1"/>
    <n v="0"/>
    <x v="2"/>
    <d v="2026-08-04T16:12:08"/>
    <d v="2026-08-04T16:12:28"/>
    <n v="21"/>
    <n v="1"/>
    <n v="0.4"/>
    <s v="KA"/>
    <s v="GJ"/>
    <m/>
  </r>
  <r>
    <s v="C232"/>
    <x v="1"/>
    <n v="8099389567"/>
    <n v="124249076"/>
    <x v="9"/>
    <s v="Nikhil Jain"/>
    <n v="1000000013"/>
    <x v="4"/>
    <n v="0"/>
    <x v="0"/>
    <n v="0"/>
    <n v="0"/>
    <x v="1"/>
    <n v="0"/>
    <x v="2"/>
    <d v="2026-08-04T16:20:21"/>
    <d v="2026-08-04T16:21:03"/>
    <n v="41"/>
    <n v="1"/>
    <n v="0.4"/>
    <s v="KA"/>
    <s v="DL"/>
    <m/>
  </r>
  <r>
    <s v="C233"/>
    <x v="1"/>
    <n v="8099389567"/>
    <n v="466083596"/>
    <x v="16"/>
    <s v="Rahul Verma"/>
    <n v="1000000007"/>
    <x v="3"/>
    <n v="0"/>
    <x v="0"/>
    <n v="0"/>
    <n v="0"/>
    <x v="1"/>
    <n v="0"/>
    <x v="2"/>
    <d v="2026-08-04T16:22:17"/>
    <d v="2026-08-04T16:22:41"/>
    <n v="24"/>
    <n v="1"/>
    <n v="0.4"/>
    <s v="KA"/>
    <s v="OR"/>
    <m/>
  </r>
  <r>
    <s v="C234"/>
    <x v="1"/>
    <n v="8099389567"/>
    <n v="300327011"/>
    <x v="29"/>
    <s v="Rahul Verma"/>
    <n v="1000000007"/>
    <x v="1"/>
    <n v="1"/>
    <x v="0"/>
    <n v="1"/>
    <n v="0"/>
    <x v="1"/>
    <n v="0"/>
    <x v="2"/>
    <d v="2026-08-04T16:24:38"/>
    <d v="2026-08-04T16:25:02"/>
    <n v="24"/>
    <n v="0"/>
    <n v="1.1499999999999999"/>
    <s v="KA"/>
    <s v="MU"/>
    <m/>
  </r>
  <r>
    <s v="C236"/>
    <x v="1"/>
    <n v="8099389567"/>
    <n v="565022454"/>
    <x v="19"/>
    <s v="Harsh Vora"/>
    <n v="1000000023"/>
    <x v="1"/>
    <n v="1"/>
    <x v="0"/>
    <n v="1"/>
    <n v="0"/>
    <x v="1"/>
    <n v="0"/>
    <x v="2"/>
    <d v="2026-08-04T17:06:53"/>
    <d v="2026-08-04T17:07:56"/>
    <n v="63"/>
    <n v="0"/>
    <n v="1.1499999999999999"/>
    <s v="KA"/>
    <s v="MU"/>
    <m/>
  </r>
  <r>
    <s v="C237"/>
    <x v="1"/>
    <n v="8099389567"/>
    <n v="378908620"/>
    <x v="28"/>
    <s v="Simran Kaur"/>
    <n v="1000000028"/>
    <x v="4"/>
    <n v="0"/>
    <x v="0"/>
    <n v="0"/>
    <n v="0"/>
    <x v="1"/>
    <n v="0"/>
    <x v="2"/>
    <d v="2026-08-04T17:11:15"/>
    <d v="2026-08-04T17:11:53"/>
    <n v="43"/>
    <n v="1"/>
    <n v="0.4"/>
    <s v="KA"/>
    <s v="AP"/>
    <m/>
  </r>
  <r>
    <s v="C238"/>
    <x v="1"/>
    <n v="8099389567"/>
    <n v="570250696"/>
    <x v="8"/>
    <s v="Vivek Chawla"/>
    <n v="1000000027"/>
    <x v="3"/>
    <n v="0"/>
    <x v="0"/>
    <n v="0"/>
    <n v="0"/>
    <x v="1"/>
    <n v="0"/>
    <x v="2"/>
    <d v="2026-08-04T17:14:07"/>
    <d v="2026-08-04T17:14:22"/>
    <n v="15"/>
    <n v="1"/>
    <n v="0.4"/>
    <s v="KA"/>
    <s v="KA"/>
    <m/>
  </r>
  <r>
    <s v="C239"/>
    <x v="1"/>
    <n v="8099389567"/>
    <n v="587240993"/>
    <x v="35"/>
    <s v="Nandini Bose"/>
    <n v="1000000030"/>
    <x v="3"/>
    <n v="0"/>
    <x v="0"/>
    <n v="0"/>
    <n v="0"/>
    <x v="1"/>
    <n v="0"/>
    <x v="2"/>
    <d v="2026-08-04T17:16:51"/>
    <d v="2026-08-04T17:17:25"/>
    <n v="34"/>
    <n v="1"/>
    <n v="0.4"/>
    <s v="KA"/>
    <s v="MH"/>
    <m/>
  </r>
  <r>
    <s v="C24"/>
    <x v="1"/>
    <n v="8099389567"/>
    <n v="52574607"/>
    <x v="14"/>
    <s v="Riya Mehta"/>
    <n v="1000000002"/>
    <x v="4"/>
    <n v="0"/>
    <x v="0"/>
    <n v="0"/>
    <n v="0"/>
    <x v="1"/>
    <n v="0"/>
    <x v="1"/>
    <d v="2026-08-02T10:32:06"/>
    <d v="2026-08-02T10:32:50"/>
    <n v="43"/>
    <n v="1"/>
    <n v="0.4"/>
    <s v="KA"/>
    <s v="KA"/>
    <m/>
  </r>
  <r>
    <s v="C240"/>
    <x v="1"/>
    <n v="8099389567"/>
    <n v="72880225"/>
    <x v="9"/>
    <s v="Ananya Nair"/>
    <n v="1000000004"/>
    <x v="3"/>
    <n v="0"/>
    <x v="0"/>
    <n v="0"/>
    <n v="0"/>
    <x v="1"/>
    <n v="0"/>
    <x v="2"/>
    <d v="2026-08-04T17:19:05"/>
    <d v="2026-08-04T17:19:30"/>
    <n v="26"/>
    <n v="1"/>
    <n v="0.4"/>
    <s v="KA"/>
    <s v="KA"/>
    <m/>
  </r>
  <r>
    <s v="C241"/>
    <x v="1"/>
    <n v="8099389567"/>
    <n v="904299253"/>
    <x v="8"/>
    <s v="Rahul Verma"/>
    <n v="1000000007"/>
    <x v="3"/>
    <n v="0"/>
    <x v="0"/>
    <n v="0"/>
    <n v="0"/>
    <x v="1"/>
    <n v="0"/>
    <x v="2"/>
    <d v="2026-08-04T17:20:21"/>
    <d v="2026-08-04T17:20:45"/>
    <n v="24"/>
    <n v="1"/>
    <n v="0.4"/>
    <s v="KA"/>
    <s v="MU"/>
    <m/>
  </r>
  <r>
    <s v="C242"/>
    <x v="1"/>
    <n v="8099389567"/>
    <n v="345487446"/>
    <x v="0"/>
    <s v="Ananya Nair"/>
    <n v="1000000004"/>
    <x v="3"/>
    <n v="0"/>
    <x v="0"/>
    <n v="0"/>
    <n v="0"/>
    <x v="1"/>
    <n v="0"/>
    <x v="2"/>
    <d v="2026-08-04T17:22:27"/>
    <d v="2026-08-04T17:22:45"/>
    <n v="17"/>
    <n v="1"/>
    <n v="0.4"/>
    <s v="KA"/>
    <s v="MH"/>
    <m/>
  </r>
  <r>
    <s v="C245"/>
    <x v="1"/>
    <n v="8099389567"/>
    <n v="88284891"/>
    <x v="36"/>
    <s v="Rahul Verma"/>
    <n v="1000000007"/>
    <x v="1"/>
    <n v="1"/>
    <x v="0"/>
    <n v="1"/>
    <n v="0"/>
    <x v="1"/>
    <n v="0"/>
    <x v="2"/>
    <d v="2026-08-04T17:50:08"/>
    <d v="2026-08-04T17:52:07"/>
    <n v="124"/>
    <n v="0"/>
    <n v="2.2999999999999998"/>
    <s v="KA"/>
    <s v="MU"/>
    <m/>
  </r>
  <r>
    <s v="C247"/>
    <x v="1"/>
    <n v="8099389567"/>
    <n v="645402273"/>
    <x v="9"/>
    <s v="Nikhil Jain"/>
    <n v="1000000013"/>
    <x v="3"/>
    <n v="0"/>
    <x v="0"/>
    <n v="0"/>
    <n v="0"/>
    <x v="1"/>
    <n v="0"/>
    <x v="2"/>
    <d v="2026-08-04T18:07:33"/>
    <d v="2026-08-04T18:07:49"/>
    <n v="16"/>
    <n v="1"/>
    <n v="0.4"/>
    <s v="KA"/>
    <s v="RJ"/>
    <m/>
  </r>
  <r>
    <s v="C248"/>
    <x v="1"/>
    <n v="8099389567"/>
    <n v="567438248"/>
    <x v="4"/>
    <s v="Nikhil Jain"/>
    <n v="1000000013"/>
    <x v="3"/>
    <n v="0"/>
    <x v="0"/>
    <n v="0"/>
    <n v="0"/>
    <x v="1"/>
    <n v="0"/>
    <x v="2"/>
    <d v="2026-08-04T18:10:08"/>
    <d v="2026-08-04T18:10:28"/>
    <n v="19"/>
    <n v="1"/>
    <n v="0.4"/>
    <s v="KA"/>
    <s v="RJ"/>
    <m/>
  </r>
  <r>
    <s v="C249"/>
    <x v="1"/>
    <n v="8099389567"/>
    <n v="208186378"/>
    <x v="22"/>
    <s v="Amit Khanna"/>
    <n v="1000000035"/>
    <x v="3"/>
    <n v="0"/>
    <x v="0"/>
    <n v="0"/>
    <n v="0"/>
    <x v="1"/>
    <n v="0"/>
    <x v="2"/>
    <d v="2026-08-04T18:11:25"/>
    <d v="2026-08-04T18:11:54"/>
    <n v="29"/>
    <n v="1"/>
    <n v="0.4"/>
    <s v="KA"/>
    <s v="UE"/>
    <m/>
  </r>
  <r>
    <s v="C251"/>
    <x v="1"/>
    <n v="8099389567"/>
    <n v="399355862"/>
    <x v="18"/>
    <s v="Aditya Rao"/>
    <n v="1000000009"/>
    <x v="1"/>
    <n v="1"/>
    <x v="0"/>
    <n v="1"/>
    <n v="0"/>
    <x v="1"/>
    <n v="0"/>
    <x v="2"/>
    <d v="2026-08-04T18:13:45"/>
    <d v="2026-08-04T18:15:19"/>
    <n v="95"/>
    <n v="0"/>
    <n v="2.2999999999999998"/>
    <s v="KA"/>
    <s v="MU"/>
    <m/>
  </r>
  <r>
    <s v="C256"/>
    <x v="1"/>
    <n v="8099389567"/>
    <n v="913916661"/>
    <x v="29"/>
    <s v="Ishita Gupta"/>
    <n v="1000000016"/>
    <x v="3"/>
    <n v="0"/>
    <x v="0"/>
    <n v="0"/>
    <n v="0"/>
    <x v="1"/>
    <n v="0"/>
    <x v="2"/>
    <d v="2026-08-04T19:18:32"/>
    <d v="2026-08-04T19:18:55"/>
    <n v="23"/>
    <n v="1"/>
    <n v="0.4"/>
    <s v="KA"/>
    <s v="KA"/>
    <m/>
  </r>
  <r>
    <s v="C257"/>
    <x v="1"/>
    <n v="8099389567"/>
    <n v="241993138"/>
    <x v="36"/>
    <s v="Karan Malhotra"/>
    <n v="1000000005"/>
    <x v="3"/>
    <n v="0"/>
    <x v="0"/>
    <n v="0"/>
    <n v="0"/>
    <x v="1"/>
    <n v="0"/>
    <x v="2"/>
    <d v="2026-08-04T19:28:40"/>
    <d v="2026-08-04T19:29:14"/>
    <n v="35"/>
    <n v="1"/>
    <n v="0.4"/>
    <s v="KA"/>
    <s v="MH"/>
    <m/>
  </r>
  <r>
    <s v="C27"/>
    <x v="1"/>
    <n v="8099389567"/>
    <n v="18723854"/>
    <x v="14"/>
    <s v="Varun Singh"/>
    <n v="1000000015"/>
    <x v="4"/>
    <n v="0"/>
    <x v="0"/>
    <n v="0"/>
    <n v="0"/>
    <x v="1"/>
    <n v="0"/>
    <x v="1"/>
    <d v="2026-08-02T10:45:54"/>
    <d v="2026-08-02T10:46:36"/>
    <n v="43"/>
    <n v="1"/>
    <n v="0.4"/>
    <s v="KA"/>
    <s v="KA"/>
    <m/>
  </r>
  <r>
    <s v="C276"/>
    <x v="1"/>
    <n v="8099389567"/>
    <n v="482282053"/>
    <x v="33"/>
    <s v="Manish Arora"/>
    <n v="1000000025"/>
    <x v="1"/>
    <n v="1"/>
    <x v="0"/>
    <n v="1"/>
    <n v="0"/>
    <x v="1"/>
    <n v="0"/>
    <x v="3"/>
    <d v="2026-08-05T14:00:26"/>
    <d v="2026-08-05T14:01:14"/>
    <n v="48"/>
    <n v="0"/>
    <n v="1.1499999999999999"/>
    <s v="KA"/>
    <s v="MU"/>
    <m/>
  </r>
  <r>
    <s v="C277"/>
    <x v="1"/>
    <n v="8099389567"/>
    <n v="517596904"/>
    <x v="1"/>
    <s v="Rohan Das"/>
    <n v="1000000017"/>
    <x v="4"/>
    <n v="0"/>
    <x v="0"/>
    <n v="0"/>
    <n v="0"/>
    <x v="1"/>
    <n v="0"/>
    <x v="3"/>
    <d v="2026-08-05T14:02:12"/>
    <d v="2026-08-05T14:02:53"/>
    <n v="42"/>
    <n v="1"/>
    <n v="0.4"/>
    <s v="KA"/>
    <s v="MU"/>
    <m/>
  </r>
  <r>
    <s v="C279"/>
    <x v="1"/>
    <n v="8099389567"/>
    <n v="112387072"/>
    <x v="6"/>
    <s v="Siddharth Mishra"/>
    <n v="1000000019"/>
    <x v="4"/>
    <n v="0"/>
    <x v="0"/>
    <n v="0"/>
    <n v="0"/>
    <x v="1"/>
    <n v="0"/>
    <x v="3"/>
    <d v="2026-08-05T14:05:17"/>
    <d v="2026-08-05T14:05:58"/>
    <n v="41"/>
    <n v="1"/>
    <n v="0.4"/>
    <s v="KA"/>
    <s v="KA"/>
    <m/>
  </r>
  <r>
    <s v="C280"/>
    <x v="1"/>
    <n v="8099389567"/>
    <n v="353920861"/>
    <x v="1"/>
    <s v="Simran Kaur"/>
    <n v="1000000028"/>
    <x v="1"/>
    <n v="1"/>
    <x v="0"/>
    <n v="1"/>
    <n v="0"/>
    <x v="1"/>
    <n v="0"/>
    <x v="3"/>
    <d v="2026-08-05T14:10:38"/>
    <d v="2026-08-05T14:11:10"/>
    <n v="32"/>
    <n v="0"/>
    <n v="1.1499999999999999"/>
    <s v="KA"/>
    <s v="DL"/>
    <m/>
  </r>
  <r>
    <s v="C282"/>
    <x v="1"/>
    <n v="8099389567"/>
    <n v="635842546"/>
    <x v="7"/>
    <s v="Sakshi Desai"/>
    <n v="1000000032"/>
    <x v="1"/>
    <n v="1"/>
    <x v="0"/>
    <n v="1"/>
    <n v="0"/>
    <x v="1"/>
    <n v="0"/>
    <x v="3"/>
    <d v="2026-08-05T14:19:55"/>
    <d v="2026-08-05T14:23:17"/>
    <n v="202"/>
    <n v="0"/>
    <n v="3.85"/>
    <s v="KA"/>
    <s v="DL"/>
    <m/>
  </r>
  <r>
    <s v="C286"/>
    <x v="1"/>
    <n v="8099389567"/>
    <n v="609906372"/>
    <x v="14"/>
    <s v="Pooja Shah"/>
    <n v="1000000014"/>
    <x v="1"/>
    <n v="1"/>
    <x v="0"/>
    <n v="1"/>
    <n v="0"/>
    <x v="1"/>
    <n v="0"/>
    <x v="3"/>
    <d v="2026-08-05T15:30:40"/>
    <d v="2026-08-05T15:31:27"/>
    <n v="47"/>
    <n v="0"/>
    <n v="0.8"/>
    <s v="KA"/>
    <s v="KA"/>
    <m/>
  </r>
  <r>
    <s v="C287"/>
    <x v="1"/>
    <n v="8099389567"/>
    <n v="901585544"/>
    <x v="39"/>
    <s v="Ananya Nair"/>
    <n v="1000000004"/>
    <x v="4"/>
    <n v="0"/>
    <x v="0"/>
    <n v="0"/>
    <n v="0"/>
    <x v="1"/>
    <n v="0"/>
    <x v="3"/>
    <d v="2026-08-05T15:32:32"/>
    <d v="2026-08-05T15:33:15"/>
    <n v="44"/>
    <n v="1"/>
    <n v="0.4"/>
    <s v="KA"/>
    <s v="HR"/>
    <m/>
  </r>
  <r>
    <s v="C288"/>
    <x v="1"/>
    <n v="8099389567"/>
    <n v="146529903"/>
    <x v="29"/>
    <s v="Nisha Shetty"/>
    <n v="1000000038"/>
    <x v="1"/>
    <n v="1"/>
    <x v="0"/>
    <n v="1"/>
    <n v="0"/>
    <x v="1"/>
    <n v="0"/>
    <x v="3"/>
    <d v="2026-08-05T15:35:03"/>
    <d v="2026-08-05T15:35:50"/>
    <n v="46"/>
    <n v="0"/>
    <n v="1.1499999999999999"/>
    <s v="KA"/>
    <s v="MH"/>
    <m/>
  </r>
  <r>
    <s v="C289"/>
    <x v="1"/>
    <n v="8099389567"/>
    <n v="561715466"/>
    <x v="13"/>
    <s v="Amit Khanna"/>
    <n v="1000000035"/>
    <x v="1"/>
    <n v="1"/>
    <x v="0"/>
    <n v="1"/>
    <n v="0"/>
    <x v="1"/>
    <n v="0"/>
    <x v="3"/>
    <d v="2026-08-05T15:38:45"/>
    <d v="2026-08-05T15:41:52"/>
    <n v="185"/>
    <n v="0"/>
    <n v="2.8"/>
    <s v="KA"/>
    <s v="KA"/>
    <m/>
  </r>
  <r>
    <s v="C29"/>
    <x v="1"/>
    <n v="8099389567"/>
    <n v="210654544"/>
    <x v="3"/>
    <s v="Rohit Bedi"/>
    <n v="1000000039"/>
    <x v="3"/>
    <n v="0"/>
    <x v="0"/>
    <n v="0"/>
    <n v="0"/>
    <x v="1"/>
    <n v="0"/>
    <x v="1"/>
    <d v="2026-08-02T11:19:49"/>
    <d v="2026-08-02T11:20:17"/>
    <n v="26"/>
    <n v="1"/>
    <n v="0.4"/>
    <s v="KA"/>
    <s v="KA"/>
    <m/>
  </r>
  <r>
    <s v="C290"/>
    <x v="1"/>
    <n v="8099389567"/>
    <n v="714836030"/>
    <x v="18"/>
    <s v="Ananya Nair"/>
    <n v="1000000004"/>
    <x v="1"/>
    <n v="1"/>
    <x v="0"/>
    <n v="1"/>
    <n v="0"/>
    <x v="1"/>
    <n v="0"/>
    <x v="3"/>
    <d v="2026-08-05T15:51:36"/>
    <d v="2026-08-05T15:52:47"/>
    <n v="70"/>
    <n v="0"/>
    <n v="1.55"/>
    <s v="KA"/>
    <s v="TN"/>
    <m/>
  </r>
  <r>
    <s v="C291"/>
    <x v="1"/>
    <n v="8099389567"/>
    <n v="938919105"/>
    <x v="16"/>
    <s v="Akash Yadav"/>
    <n v="1000000021"/>
    <x v="4"/>
    <n v="0"/>
    <x v="0"/>
    <n v="0"/>
    <n v="0"/>
    <x v="1"/>
    <n v="0"/>
    <x v="3"/>
    <d v="2026-08-05T16:00:14"/>
    <d v="2026-08-05T16:00:56"/>
    <n v="43"/>
    <n v="1"/>
    <n v="0.4"/>
    <s v="KA"/>
    <s v="AS"/>
    <m/>
  </r>
  <r>
    <s v="C292"/>
    <x v="1"/>
    <n v="8099389567"/>
    <n v="211180209"/>
    <x v="17"/>
    <s v="Ananya Nair"/>
    <n v="1000000004"/>
    <x v="3"/>
    <n v="0"/>
    <x v="0"/>
    <n v="0"/>
    <n v="0"/>
    <x v="1"/>
    <n v="0"/>
    <x v="3"/>
    <d v="2026-08-05T16:03:31"/>
    <d v="2026-08-05T16:03:57"/>
    <n v="22"/>
    <n v="1"/>
    <n v="0.4"/>
    <s v="KA"/>
    <s v="KA"/>
    <m/>
  </r>
  <r>
    <s v="C296"/>
    <x v="1"/>
    <n v="8099389567"/>
    <n v="339627622"/>
    <x v="39"/>
    <s v="Gaurav Bansal"/>
    <n v="1000000033"/>
    <x v="3"/>
    <n v="0"/>
    <x v="0"/>
    <n v="0"/>
    <n v="0"/>
    <x v="1"/>
    <n v="0"/>
    <x v="3"/>
    <d v="2026-08-05T16:38:43"/>
    <d v="2026-08-05T16:38:59"/>
    <n v="17"/>
    <n v="1"/>
    <n v="0.4"/>
    <s v="KA"/>
    <s v="HP"/>
    <m/>
  </r>
  <r>
    <s v="C297"/>
    <x v="1"/>
    <n v="8099389567"/>
    <n v="971158578"/>
    <x v="33"/>
    <s v="Pallavi Naik"/>
    <n v="1000000034"/>
    <x v="4"/>
    <n v="0"/>
    <x v="0"/>
    <n v="0"/>
    <n v="0"/>
    <x v="1"/>
    <n v="0"/>
    <x v="3"/>
    <d v="2026-08-05T16:41:50"/>
    <d v="2026-08-05T16:42:31"/>
    <n v="42"/>
    <n v="1"/>
    <n v="0.4"/>
    <s v="KA"/>
    <s v="HR"/>
    <m/>
  </r>
  <r>
    <s v="C299"/>
    <x v="1"/>
    <n v="8099389567"/>
    <n v="992228097"/>
    <x v="20"/>
    <s v="Ananya Nair"/>
    <n v="1000000004"/>
    <x v="3"/>
    <n v="0"/>
    <x v="0"/>
    <n v="0"/>
    <n v="0"/>
    <x v="1"/>
    <n v="0"/>
    <x v="3"/>
    <d v="2026-08-05T16:44:51"/>
    <d v="2026-08-05T16:45:26"/>
    <n v="32"/>
    <n v="1"/>
    <n v="0.4"/>
    <s v="KA"/>
    <s v="KA"/>
    <m/>
  </r>
  <r>
    <s v="C300"/>
    <x v="1"/>
    <n v="8099389567"/>
    <n v="873916460"/>
    <x v="26"/>
    <s v="Gaurav Bansal"/>
    <n v="1000000033"/>
    <x v="4"/>
    <n v="0"/>
    <x v="0"/>
    <n v="0"/>
    <n v="0"/>
    <x v="1"/>
    <n v="0"/>
    <x v="3"/>
    <d v="2026-08-05T16:46:50"/>
    <d v="2026-08-05T16:47:31"/>
    <n v="41"/>
    <n v="1"/>
    <n v="0.4"/>
    <s v="KA"/>
    <s v="DL"/>
    <m/>
  </r>
  <r>
    <s v="C302"/>
    <x v="1"/>
    <n v="8099389567"/>
    <n v="266673969"/>
    <x v="12"/>
    <s v="Kavya Menon"/>
    <n v="1000000012"/>
    <x v="4"/>
    <n v="0"/>
    <x v="0"/>
    <n v="0"/>
    <n v="0"/>
    <x v="1"/>
    <n v="0"/>
    <x v="3"/>
    <d v="2026-08-05T17:16:43"/>
    <d v="2026-08-05T17:17:24"/>
    <n v="42"/>
    <n v="1"/>
    <n v="0.4"/>
    <s v="KA"/>
    <s v="MU"/>
    <m/>
  </r>
  <r>
    <s v="C303"/>
    <x v="1"/>
    <n v="8099389567"/>
    <n v="866027527"/>
    <x v="23"/>
    <s v="Karan Malhotra"/>
    <n v="1000000005"/>
    <x v="1"/>
    <n v="1"/>
    <x v="0"/>
    <n v="1"/>
    <n v="0"/>
    <x v="1"/>
    <n v="0"/>
    <x v="3"/>
    <d v="2026-08-05T17:23:55"/>
    <d v="2026-08-05T17:24:21"/>
    <n v="31"/>
    <n v="0"/>
    <n v="1.1499999999999999"/>
    <s v="KA"/>
    <s v="WB"/>
    <m/>
  </r>
  <r>
    <s v="C304"/>
    <x v="1"/>
    <n v="8099389567"/>
    <n v="19005829"/>
    <x v="35"/>
    <s v="Rohit Bedi"/>
    <n v="1000000039"/>
    <x v="1"/>
    <n v="1"/>
    <x v="0"/>
    <n v="1"/>
    <n v="0"/>
    <x v="1"/>
    <n v="0"/>
    <x v="3"/>
    <d v="2026-08-05T17:30:10"/>
    <d v="2026-08-05T17:30:39"/>
    <n v="29"/>
    <n v="0"/>
    <n v="1.1499999999999999"/>
    <s v="KA"/>
    <s v="MH"/>
    <m/>
  </r>
  <r>
    <s v="C306"/>
    <x v="1"/>
    <n v="8099389567"/>
    <n v="754201064"/>
    <x v="21"/>
    <s v="Ishita Gupta"/>
    <n v="1000000016"/>
    <x v="1"/>
    <n v="1"/>
    <x v="0"/>
    <n v="1"/>
    <n v="0"/>
    <x v="1"/>
    <n v="0"/>
    <x v="3"/>
    <d v="2026-08-05T18:30:08"/>
    <d v="2026-08-05T18:30:54"/>
    <n v="46"/>
    <n v="0"/>
    <n v="1.1499999999999999"/>
    <s v="KA"/>
    <s v="AP"/>
    <m/>
  </r>
  <r>
    <s v="C307"/>
    <x v="1"/>
    <n v="8099389567"/>
    <n v="952755588"/>
    <x v="24"/>
    <s v="Aditi Ghosh"/>
    <n v="1000000026"/>
    <x v="1"/>
    <n v="1"/>
    <x v="0"/>
    <n v="1"/>
    <n v="0"/>
    <x v="1"/>
    <n v="0"/>
    <x v="3"/>
    <d v="2026-08-05T18:34:22"/>
    <d v="2026-08-05T18:44:20"/>
    <n v="598"/>
    <n v="0"/>
    <n v="11.5"/>
    <s v="KA"/>
    <s v="BR"/>
    <m/>
  </r>
  <r>
    <s v="C308"/>
    <x v="1"/>
    <n v="8099389567"/>
    <n v="57984361"/>
    <x v="5"/>
    <s v="Sneha Reddy"/>
    <n v="1000000008"/>
    <x v="1"/>
    <n v="1"/>
    <x v="0"/>
    <n v="1"/>
    <n v="0"/>
    <x v="1"/>
    <n v="0"/>
    <x v="3"/>
    <d v="2026-08-05T18:51:22"/>
    <d v="2026-08-05T18:55:43"/>
    <n v="265"/>
    <n v="0"/>
    <n v="5.75"/>
    <s v="KA"/>
    <s v="UP"/>
    <m/>
  </r>
  <r>
    <s v="C309"/>
    <x v="1"/>
    <n v="8099389567"/>
    <n v="788633180"/>
    <x v="26"/>
    <s v="Sanjay Oberoi"/>
    <n v="1000000037"/>
    <x v="4"/>
    <n v="0"/>
    <x v="0"/>
    <n v="0"/>
    <n v="0"/>
    <x v="1"/>
    <n v="0"/>
    <x v="3"/>
    <d v="2026-08-05T19:00:33"/>
    <d v="2026-08-05T19:01:13"/>
    <n v="40"/>
    <n v="1"/>
    <n v="0.4"/>
    <s v="KA"/>
    <s v="KA"/>
    <m/>
  </r>
  <r>
    <s v="C310"/>
    <x v="1"/>
    <n v="8099389567"/>
    <n v="134714357"/>
    <x v="35"/>
    <s v="Ishita Gupta"/>
    <n v="1000000016"/>
    <x v="1"/>
    <n v="1"/>
    <x v="0"/>
    <n v="1"/>
    <n v="0"/>
    <x v="1"/>
    <n v="0"/>
    <x v="3"/>
    <d v="2026-08-05T19:02:22"/>
    <d v="2026-08-05T19:02:46"/>
    <n v="25"/>
    <n v="0"/>
    <n v="0.8"/>
    <s v="KA"/>
    <s v="KA"/>
    <m/>
  </r>
  <r>
    <s v="C311"/>
    <x v="1"/>
    <n v="8099389567"/>
    <n v="944589480"/>
    <x v="22"/>
    <s v="Nisha Shetty"/>
    <n v="1000000038"/>
    <x v="1"/>
    <n v="1"/>
    <x v="0"/>
    <n v="1"/>
    <n v="0"/>
    <x v="1"/>
    <n v="0"/>
    <x v="3"/>
    <d v="2026-08-05T19:03:52"/>
    <d v="2026-08-05T19:06:51"/>
    <n v="185"/>
    <n v="0"/>
    <n v="2.4"/>
    <s v="KA"/>
    <s v="KA"/>
    <m/>
  </r>
  <r>
    <s v="C312"/>
    <x v="1"/>
    <n v="8099389567"/>
    <n v="766542994"/>
    <x v="47"/>
    <s v="N/A"/>
    <m/>
    <x v="1"/>
    <n v="1"/>
    <x v="0"/>
    <n v="1"/>
    <n v="0"/>
    <x v="1"/>
    <n v="0"/>
    <x v="3"/>
    <d v="2026-08-05T19:13:53"/>
    <d v="2026-08-05T19:14:28"/>
    <n v="34"/>
    <n v="0"/>
    <n v="1.1499999999999999"/>
    <s v="KA"/>
    <s v="AP"/>
    <m/>
  </r>
  <r>
    <s v="C313"/>
    <x v="1"/>
    <n v="8099389567"/>
    <n v="311564965"/>
    <x v="47"/>
    <s v="N/A"/>
    <m/>
    <x v="1"/>
    <n v="1"/>
    <x v="0"/>
    <n v="1"/>
    <n v="0"/>
    <x v="1"/>
    <n v="0"/>
    <x v="3"/>
    <d v="2026-08-05T19:14:37"/>
    <d v="2026-08-05T19:14:54"/>
    <n v="18"/>
    <n v="0"/>
    <n v="1.1499999999999999"/>
    <s v="KA"/>
    <s v="AP"/>
    <m/>
  </r>
  <r>
    <s v="C314"/>
    <x v="1"/>
    <n v="8099389567"/>
    <n v="163749394"/>
    <x v="47"/>
    <s v="N/A"/>
    <m/>
    <x v="3"/>
    <n v="0"/>
    <x v="0"/>
    <n v="0"/>
    <n v="0"/>
    <x v="1"/>
    <n v="0"/>
    <x v="3"/>
    <d v="2026-08-05T19:15:43"/>
    <d v="2026-08-05T19:16:05"/>
    <n v="22"/>
    <n v="1"/>
    <n v="0.4"/>
    <s v="KA"/>
    <s v="UE"/>
    <m/>
  </r>
  <r>
    <s v="C315"/>
    <x v="1"/>
    <n v="8099389567"/>
    <n v="401902227"/>
    <x v="47"/>
    <s v="N/A"/>
    <m/>
    <x v="3"/>
    <n v="0"/>
    <x v="0"/>
    <n v="0"/>
    <n v="0"/>
    <x v="1"/>
    <n v="0"/>
    <x v="3"/>
    <d v="2026-08-05T19:20:10"/>
    <d v="2026-08-05T19:20:49"/>
    <n v="39"/>
    <n v="1"/>
    <n v="0.4"/>
    <s v="KA"/>
    <s v="DL"/>
    <m/>
  </r>
  <r>
    <s v="C316"/>
    <x v="1"/>
    <n v="8099389567"/>
    <n v="797500128"/>
    <x v="47"/>
    <s v="N/A"/>
    <m/>
    <x v="1"/>
    <n v="1"/>
    <x v="0"/>
    <n v="1"/>
    <n v="0"/>
    <x v="1"/>
    <n v="0"/>
    <x v="3"/>
    <d v="2026-08-05T19:22:20"/>
    <d v="2026-08-05T19:22:39"/>
    <n v="19"/>
    <n v="0"/>
    <n v="1.1499999999999999"/>
    <s v="KA"/>
    <s v="MU"/>
    <m/>
  </r>
  <r>
    <s v="C317"/>
    <x v="1"/>
    <n v="8099389567"/>
    <n v="209108009"/>
    <x v="47"/>
    <s v="N/A"/>
    <m/>
    <x v="1"/>
    <n v="1"/>
    <x v="0"/>
    <n v="1"/>
    <n v="0"/>
    <x v="1"/>
    <n v="0"/>
    <x v="3"/>
    <d v="2026-08-05T19:23:39"/>
    <d v="2026-08-05T19:24:33"/>
    <n v="54"/>
    <n v="0"/>
    <n v="1.1499999999999999"/>
    <s v="KA"/>
    <s v="MU"/>
    <m/>
  </r>
  <r>
    <s v="C319"/>
    <x v="1"/>
    <n v="8099389567"/>
    <n v="517260352"/>
    <x v="47"/>
    <s v="N/A"/>
    <m/>
    <x v="3"/>
    <n v="0"/>
    <x v="0"/>
    <n v="0"/>
    <n v="0"/>
    <x v="1"/>
    <n v="0"/>
    <x v="3"/>
    <d v="2026-08-05T19:48:40"/>
    <d v="2026-08-05T19:48:57"/>
    <n v="18"/>
    <n v="1"/>
    <n v="0.4"/>
    <s v="KA"/>
    <s v="RJ"/>
    <m/>
  </r>
  <r>
    <s v="C32"/>
    <x v="1"/>
    <n v="8099389567"/>
    <n v="699823652"/>
    <x v="23"/>
    <s v="Nikhil Jain"/>
    <n v="1000000013"/>
    <x v="1"/>
    <n v="1"/>
    <x v="0"/>
    <n v="1"/>
    <n v="0"/>
    <x v="1"/>
    <n v="0"/>
    <x v="1"/>
    <d v="2026-08-02T11:49:18"/>
    <d v="2026-08-02T11:52:52"/>
    <n v="213"/>
    <n v="0"/>
    <n v="2.8"/>
    <s v="KA"/>
    <s v="KA"/>
    <m/>
  </r>
  <r>
    <s v="C320"/>
    <x v="1"/>
    <n v="8099389567"/>
    <n v="639566990"/>
    <x v="47"/>
    <s v="N/A"/>
    <m/>
    <x v="4"/>
    <n v="0"/>
    <x v="0"/>
    <n v="0"/>
    <n v="0"/>
    <x v="1"/>
    <n v="0"/>
    <x v="3"/>
    <d v="2026-08-05T20:02:39"/>
    <d v="2026-08-05T20:03:21"/>
    <n v="43"/>
    <n v="1"/>
    <n v="0.4"/>
    <s v="KA"/>
    <s v="AP"/>
    <m/>
  </r>
  <r>
    <s v="C34"/>
    <x v="1"/>
    <n v="8099389567"/>
    <n v="623232010"/>
    <x v="36"/>
    <s v="Vivek Chawla"/>
    <n v="1000000027"/>
    <x v="1"/>
    <n v="1"/>
    <x v="0"/>
    <n v="1"/>
    <n v="0"/>
    <x v="1"/>
    <n v="0"/>
    <x v="1"/>
    <d v="2026-08-02T12:07:07"/>
    <d v="2026-08-02T12:10:24"/>
    <n v="202"/>
    <n v="0"/>
    <n v="4.5999999999999996"/>
    <s v="KA"/>
    <s v="MP"/>
    <m/>
  </r>
  <r>
    <s v="C343"/>
    <x v="1"/>
    <n v="8099389567"/>
    <n v="857435580"/>
    <x v="48"/>
    <s v="N/A"/>
    <m/>
    <x v="3"/>
    <n v="0"/>
    <x v="0"/>
    <n v="0"/>
    <n v="0"/>
    <x v="1"/>
    <n v="0"/>
    <x v="4"/>
    <d v="2026-08-06T17:34:00"/>
    <d v="2026-08-06T17:34:23"/>
    <n v="23"/>
    <n v="1"/>
    <n v="0.4"/>
    <s v="KA"/>
    <s v="KA"/>
    <m/>
  </r>
  <r>
    <s v="C347"/>
    <x v="1"/>
    <n v="8099389567"/>
    <n v="202079196"/>
    <x v="49"/>
    <s v="N/A"/>
    <m/>
    <x v="1"/>
    <n v="1"/>
    <x v="0"/>
    <n v="1"/>
    <n v="0"/>
    <x v="1"/>
    <n v="0"/>
    <x v="4"/>
    <d v="2026-08-06T20:41:58"/>
    <d v="2026-08-06T20:42:35"/>
    <n v="37"/>
    <n v="0"/>
    <n v="0.8"/>
    <s v="KA"/>
    <s v="KA"/>
    <m/>
  </r>
  <r>
    <s v="C350"/>
    <x v="1"/>
    <n v="8099389567"/>
    <n v="732065404"/>
    <x v="50"/>
    <s v="N/A"/>
    <m/>
    <x v="1"/>
    <n v="1"/>
    <x v="0"/>
    <n v="1"/>
    <n v="0"/>
    <x v="1"/>
    <n v="0"/>
    <x v="4"/>
    <d v="2026-08-06T21:28:54"/>
    <d v="2026-08-06T21:32:11"/>
    <n v="197"/>
    <n v="0"/>
    <n v="3.85"/>
    <s v="KA"/>
    <s v="DL"/>
    <m/>
  </r>
  <r>
    <s v="C356"/>
    <x v="1"/>
    <n v="8099389567"/>
    <n v="804661745"/>
    <x v="48"/>
    <s v="N/A"/>
    <m/>
    <x v="3"/>
    <n v="0"/>
    <x v="0"/>
    <n v="0"/>
    <n v="0"/>
    <x v="1"/>
    <n v="0"/>
    <x v="4"/>
    <d v="2026-08-06T23:47:25"/>
    <d v="2026-08-06T23:47:45"/>
    <n v="21"/>
    <n v="1"/>
    <n v="0.4"/>
    <s v="KA"/>
    <s v="KA"/>
    <m/>
  </r>
  <r>
    <s v="C36"/>
    <x v="1"/>
    <n v="8099389567"/>
    <n v="535313142"/>
    <x v="33"/>
    <s v="Deepak Saxena"/>
    <n v="1000000029"/>
    <x v="4"/>
    <n v="0"/>
    <x v="0"/>
    <n v="0"/>
    <n v="0"/>
    <x v="1"/>
    <n v="0"/>
    <x v="1"/>
    <d v="2026-08-02T12:26:22"/>
    <d v="2026-08-02T12:27:07"/>
    <n v="43"/>
    <n v="1"/>
    <n v="0.4"/>
    <s v="KA"/>
    <s v="KA"/>
    <m/>
  </r>
  <r>
    <s v="C38"/>
    <x v="1"/>
    <n v="8099389567"/>
    <n v="723237867"/>
    <x v="37"/>
    <s v="Tanvi Kulkarni"/>
    <n v="1000000018"/>
    <x v="1"/>
    <n v="1"/>
    <x v="0"/>
    <n v="1"/>
    <n v="0"/>
    <x v="1"/>
    <n v="0"/>
    <x v="1"/>
    <d v="2026-08-02T13:08:11"/>
    <d v="2026-08-02T13:09:32"/>
    <n v="81"/>
    <n v="0"/>
    <n v="1.2"/>
    <s v="KA"/>
    <s v="KA"/>
    <m/>
  </r>
  <r>
    <s v="C42"/>
    <x v="1"/>
    <n v="8099389567"/>
    <n v="598464256"/>
    <x v="12"/>
    <s v="Divya Sethi"/>
    <n v="1000000022"/>
    <x v="3"/>
    <n v="0"/>
    <x v="0"/>
    <n v="0"/>
    <n v="0"/>
    <x v="1"/>
    <n v="0"/>
    <x v="1"/>
    <d v="2026-08-02T13:39:11"/>
    <d v="2026-08-02T13:40:00"/>
    <n v="49"/>
    <n v="1"/>
    <n v="0.4"/>
    <s v="KA"/>
    <s v="KA"/>
    <m/>
  </r>
  <r>
    <s v="C43"/>
    <x v="1"/>
    <n v="8099389567"/>
    <n v="57242537"/>
    <x v="13"/>
    <s v="Tanvi Kulkarni"/>
    <n v="1000000018"/>
    <x v="1"/>
    <n v="1"/>
    <x v="0"/>
    <n v="1"/>
    <n v="0"/>
    <x v="1"/>
    <n v="0"/>
    <x v="1"/>
    <d v="2026-08-02T13:53:03"/>
    <d v="2026-08-02T13:54:02"/>
    <n v="63"/>
    <n v="0"/>
    <n v="0.8"/>
    <s v="KA"/>
    <s v="KA"/>
    <m/>
  </r>
  <r>
    <s v="C44"/>
    <x v="1"/>
    <n v="8099389567"/>
    <n v="752693752"/>
    <x v="30"/>
    <s v="Meera Joshi"/>
    <n v="1000000010"/>
    <x v="1"/>
    <n v="1"/>
    <x v="0"/>
    <n v="1"/>
    <n v="0"/>
    <x v="1"/>
    <n v="0"/>
    <x v="1"/>
    <d v="2026-08-02T14:09:09"/>
    <d v="2026-08-02T14:09:51"/>
    <n v="43"/>
    <n v="0"/>
    <n v="0.8"/>
    <s v="KA"/>
    <s v="KA"/>
    <m/>
  </r>
  <r>
    <s v="C46"/>
    <x v="1"/>
    <n v="8099389567"/>
    <n v="17875864"/>
    <x v="3"/>
    <s v="Divya Sethi"/>
    <n v="1000000022"/>
    <x v="1"/>
    <n v="1"/>
    <x v="0"/>
    <n v="1"/>
    <n v="0"/>
    <x v="1"/>
    <n v="0"/>
    <x v="1"/>
    <d v="2026-08-02T14:24:06"/>
    <d v="2026-08-02T14:25:20"/>
    <n v="72"/>
    <n v="0"/>
    <n v="1.2"/>
    <s v="KA"/>
    <s v="KA"/>
    <m/>
  </r>
  <r>
    <s v="C48"/>
    <x v="1"/>
    <n v="8099389567"/>
    <n v="652600098"/>
    <x v="33"/>
    <s v="Priya Iyer"/>
    <n v="1000000006"/>
    <x v="1"/>
    <n v="1"/>
    <x v="0"/>
    <n v="1"/>
    <n v="0"/>
    <x v="1"/>
    <n v="0"/>
    <x v="1"/>
    <d v="2026-08-02T14:46:40"/>
    <d v="2026-08-02T14:46:56"/>
    <n v="17"/>
    <n v="0"/>
    <n v="1.1499999999999999"/>
    <s v="KA"/>
    <s v="MU"/>
    <m/>
  </r>
  <r>
    <s v="C50"/>
    <x v="1"/>
    <n v="8099389567"/>
    <n v="690792891"/>
    <x v="19"/>
    <s v="Rahul Verma"/>
    <n v="1000000007"/>
    <x v="1"/>
    <n v="1"/>
    <x v="0"/>
    <n v="1"/>
    <n v="0"/>
    <x v="1"/>
    <n v="0"/>
    <x v="1"/>
    <d v="2026-08-02T14:48:29"/>
    <d v="2026-08-02T14:50:07"/>
    <n v="99"/>
    <n v="0"/>
    <n v="1.6"/>
    <s v="KA"/>
    <s v="KA"/>
    <m/>
  </r>
  <r>
    <s v="C51"/>
    <x v="1"/>
    <n v="8099389567"/>
    <n v="124205410"/>
    <x v="2"/>
    <s v="Harsh Vora"/>
    <n v="1000000023"/>
    <x v="4"/>
    <n v="0"/>
    <x v="0"/>
    <n v="0"/>
    <n v="0"/>
    <x v="1"/>
    <n v="0"/>
    <x v="1"/>
    <d v="2026-08-02T15:31:36"/>
    <d v="2026-08-02T15:32:22"/>
    <n v="46"/>
    <n v="1"/>
    <n v="0.4"/>
    <s v="KA"/>
    <s v="AP"/>
    <m/>
  </r>
  <r>
    <s v="C53"/>
    <x v="1"/>
    <n v="8099389567"/>
    <n v="121627891"/>
    <x v="20"/>
    <s v="Rohit Bedi"/>
    <n v="1000000039"/>
    <x v="1"/>
    <n v="1"/>
    <x v="0"/>
    <n v="1"/>
    <n v="0"/>
    <x v="1"/>
    <n v="0"/>
    <x v="1"/>
    <d v="2026-08-02T15:43:19"/>
    <d v="2026-08-02T15:45:52"/>
    <n v="153"/>
    <n v="0"/>
    <n v="2.4"/>
    <s v="KA"/>
    <s v="KA"/>
    <m/>
  </r>
  <r>
    <s v="C61"/>
    <x v="1"/>
    <n v="8099389567"/>
    <n v="125792673"/>
    <x v="7"/>
    <s v="Kriti Dutta"/>
    <n v="1000000036"/>
    <x v="3"/>
    <n v="0"/>
    <x v="0"/>
    <n v="0"/>
    <n v="0"/>
    <x v="1"/>
    <n v="0"/>
    <x v="0"/>
    <d v="2026-08-03T09:22:38"/>
    <d v="2026-08-03T09:22:58"/>
    <n v="20"/>
    <n v="1"/>
    <n v="0.4"/>
    <s v="KA"/>
    <s v="DL"/>
    <m/>
  </r>
  <r>
    <s v="C64"/>
    <x v="1"/>
    <n v="8099389567"/>
    <n v="368375104"/>
    <x v="3"/>
    <s v="Shreya Pillai"/>
    <n v="1000000024"/>
    <x v="3"/>
    <n v="0"/>
    <x v="0"/>
    <n v="0"/>
    <n v="0"/>
    <x v="1"/>
    <n v="0"/>
    <x v="0"/>
    <d v="2026-08-03T11:13:33"/>
    <d v="2026-08-03T11:13:53"/>
    <n v="20"/>
    <n v="1"/>
    <n v="0.4"/>
    <s v="KA"/>
    <s v="AP"/>
    <m/>
  </r>
  <r>
    <s v="C65"/>
    <x v="1"/>
    <n v="8099389567"/>
    <n v="276849547"/>
    <x v="10"/>
    <s v="Sanjay Oberoi"/>
    <n v="1000000037"/>
    <x v="3"/>
    <n v="0"/>
    <x v="0"/>
    <n v="0"/>
    <n v="0"/>
    <x v="1"/>
    <n v="0"/>
    <x v="0"/>
    <d v="2026-08-03T11:14:02"/>
    <d v="2026-08-03T11:14:19"/>
    <n v="17"/>
    <n v="1"/>
    <n v="0.4"/>
    <s v="KA"/>
    <s v="TN"/>
    <m/>
  </r>
  <r>
    <s v="C66"/>
    <x v="1"/>
    <n v="8099389567"/>
    <n v="722204661"/>
    <x v="0"/>
    <s v="Nikhil Jain"/>
    <n v="1000000013"/>
    <x v="3"/>
    <n v="0"/>
    <x v="0"/>
    <n v="0"/>
    <n v="0"/>
    <x v="1"/>
    <n v="0"/>
    <x v="0"/>
    <d v="2026-08-03T11:14:26"/>
    <d v="2026-08-03T11:15:03"/>
    <n v="37"/>
    <n v="1"/>
    <n v="0.4"/>
    <s v="KA"/>
    <s v="MU"/>
    <m/>
  </r>
  <r>
    <s v="C67"/>
    <x v="1"/>
    <n v="8099389567"/>
    <n v="237922193"/>
    <x v="26"/>
    <s v="Karan Malhotra"/>
    <n v="1000000005"/>
    <x v="4"/>
    <n v="0"/>
    <x v="0"/>
    <n v="0"/>
    <n v="0"/>
    <x v="1"/>
    <n v="0"/>
    <x v="0"/>
    <d v="2026-08-03T11:15:13"/>
    <d v="2026-08-03T11:15:52"/>
    <n v="39"/>
    <n v="1"/>
    <n v="0.4"/>
    <s v="KA"/>
    <s v="AP"/>
    <m/>
  </r>
  <r>
    <s v="C68"/>
    <x v="1"/>
    <n v="8099389567"/>
    <n v="238061954"/>
    <x v="38"/>
    <s v="Vikram Patel"/>
    <n v="1000000003"/>
    <x v="3"/>
    <n v="0"/>
    <x v="0"/>
    <n v="0"/>
    <n v="0"/>
    <x v="1"/>
    <n v="0"/>
    <x v="0"/>
    <d v="2026-08-03T11:16:11"/>
    <d v="2026-08-03T11:16:52"/>
    <n v="40"/>
    <n v="1"/>
    <n v="0.4"/>
    <s v="KA"/>
    <s v="KA"/>
    <m/>
  </r>
  <r>
    <s v="C69"/>
    <x v="1"/>
    <n v="8099389567"/>
    <n v="404385968"/>
    <x v="30"/>
    <s v="Varun Singh"/>
    <n v="1000000015"/>
    <x v="1"/>
    <n v="1"/>
    <x v="0"/>
    <n v="1"/>
    <n v="0"/>
    <x v="1"/>
    <n v="0"/>
    <x v="0"/>
    <d v="2026-08-03T11:17:08"/>
    <d v="2026-08-03T11:18:09"/>
    <n v="62"/>
    <n v="0"/>
    <n v="0.8"/>
    <s v="KA"/>
    <s v="KA"/>
    <m/>
  </r>
  <r>
    <s v="C70"/>
    <x v="1"/>
    <n v="8099389567"/>
    <n v="409812161"/>
    <x v="20"/>
    <s v="Siddharth Mishra"/>
    <n v="1000000019"/>
    <x v="4"/>
    <n v="0"/>
    <x v="0"/>
    <n v="0"/>
    <n v="0"/>
    <x v="1"/>
    <n v="0"/>
    <x v="0"/>
    <d v="2026-08-03T11:19:55"/>
    <d v="2026-08-03T11:20:37"/>
    <n v="42"/>
    <n v="1"/>
    <n v="0.4"/>
    <s v="KA"/>
    <s v="TN"/>
    <m/>
  </r>
  <r>
    <s v="C71"/>
    <x v="1"/>
    <n v="8099389567"/>
    <n v="207013193"/>
    <x v="34"/>
    <s v="Priya Iyer"/>
    <n v="1000000006"/>
    <x v="1"/>
    <n v="1"/>
    <x v="0"/>
    <n v="1"/>
    <n v="0"/>
    <x v="1"/>
    <n v="0"/>
    <x v="0"/>
    <d v="2026-08-03T11:20:53"/>
    <d v="2026-08-03T11:27:56"/>
    <n v="424"/>
    <n v="0"/>
    <n v="8.0500000000000007"/>
    <s v="KA"/>
    <s v="AP"/>
    <m/>
  </r>
  <r>
    <s v="C72"/>
    <x v="1"/>
    <n v="8099389567"/>
    <n v="192867356"/>
    <x v="28"/>
    <s v="Varun Singh"/>
    <n v="1000000015"/>
    <x v="3"/>
    <n v="0"/>
    <x v="0"/>
    <n v="0"/>
    <n v="0"/>
    <x v="1"/>
    <n v="0"/>
    <x v="0"/>
    <d v="2026-08-03T11:36:51"/>
    <d v="2026-08-03T11:37:23"/>
    <n v="14"/>
    <n v="1"/>
    <m/>
    <s v="KA"/>
    <s v="MU"/>
    <m/>
  </r>
  <r>
    <s v="C73"/>
    <x v="1"/>
    <n v="8099389567"/>
    <n v="690091299"/>
    <x v="8"/>
    <s v="Rahul Verma"/>
    <n v="1000000007"/>
    <x v="1"/>
    <n v="1"/>
    <x v="0"/>
    <n v="1"/>
    <n v="0"/>
    <x v="1"/>
    <n v="0"/>
    <x v="0"/>
    <d v="2026-08-03T11:37:42"/>
    <d v="2026-08-03T11:39:02"/>
    <n v="76"/>
    <n v="0"/>
    <n v="1.2"/>
    <s v="KA"/>
    <s v="KA"/>
    <m/>
  </r>
  <r>
    <s v="C74"/>
    <x v="1"/>
    <n v="8099389567"/>
    <n v="175701585"/>
    <x v="34"/>
    <s v="Manish Arora"/>
    <n v="1000000025"/>
    <x v="4"/>
    <n v="0"/>
    <x v="0"/>
    <n v="0"/>
    <n v="0"/>
    <x v="1"/>
    <n v="0"/>
    <x v="0"/>
    <d v="2026-08-03T11:38:48"/>
    <d v="2026-08-03T11:39:28"/>
    <n v="40"/>
    <n v="1"/>
    <n v="0.4"/>
    <s v="KA"/>
    <s v="AP"/>
    <m/>
  </r>
  <r>
    <s v="C75"/>
    <x v="1"/>
    <n v="8099389567"/>
    <n v="133051436"/>
    <x v="0"/>
    <s v="Tanvi Kulkarni"/>
    <n v="1000000018"/>
    <x v="1"/>
    <n v="1"/>
    <x v="0"/>
    <n v="1"/>
    <n v="0"/>
    <x v="1"/>
    <n v="0"/>
    <x v="0"/>
    <d v="2026-08-03T11:39:37"/>
    <d v="2026-08-03T11:40:20"/>
    <n v="35"/>
    <n v="0"/>
    <m/>
    <s v="KA"/>
    <s v="MH"/>
    <m/>
  </r>
  <r>
    <s v="C76"/>
    <x v="1"/>
    <n v="8099389567"/>
    <n v="374051419"/>
    <x v="35"/>
    <s v="Nandini Bose"/>
    <n v="1000000030"/>
    <x v="4"/>
    <n v="0"/>
    <x v="0"/>
    <n v="0"/>
    <n v="0"/>
    <x v="1"/>
    <n v="0"/>
    <x v="0"/>
    <d v="2026-08-03T11:40:43"/>
    <d v="2026-08-03T11:41:29"/>
    <n v="46"/>
    <n v="1"/>
    <n v="0.4"/>
    <s v="KA"/>
    <s v="AP"/>
    <m/>
  </r>
  <r>
    <s v="C77"/>
    <x v="1"/>
    <n v="8099389567"/>
    <n v="90312974"/>
    <x v="25"/>
    <s v="Shreya Pillai"/>
    <n v="1000000024"/>
    <x v="1"/>
    <n v="1"/>
    <x v="0"/>
    <n v="1"/>
    <n v="0"/>
    <x v="1"/>
    <n v="0"/>
    <x v="0"/>
    <d v="2026-08-03T11:41:47"/>
    <d v="2026-08-03T11:42:43"/>
    <n v="56"/>
    <n v="0"/>
    <n v="1.1499999999999999"/>
    <s v="KA"/>
    <s v="MH"/>
    <m/>
  </r>
  <r>
    <s v="C78"/>
    <x v="1"/>
    <n v="8099389567"/>
    <n v="963910237"/>
    <x v="12"/>
    <s v="Arjun Kapoor"/>
    <n v="1000000011"/>
    <x v="3"/>
    <n v="0"/>
    <x v="0"/>
    <n v="0"/>
    <n v="0"/>
    <x v="1"/>
    <n v="0"/>
    <x v="0"/>
    <d v="2026-08-03T11:41:56"/>
    <d v="2026-08-03T11:42:17"/>
    <n v="21"/>
    <n v="1"/>
    <n v="0.4"/>
    <s v="KA"/>
    <s v="MH"/>
    <m/>
  </r>
  <r>
    <s v="C79"/>
    <x v="1"/>
    <n v="8099389567"/>
    <n v="915448537"/>
    <x v="3"/>
    <s v="Shreya Pillai"/>
    <n v="1000000024"/>
    <x v="1"/>
    <n v="1"/>
    <x v="0"/>
    <n v="1"/>
    <n v="0"/>
    <x v="1"/>
    <n v="0"/>
    <x v="0"/>
    <d v="2026-08-03T11:43:10"/>
    <d v="2026-08-03T11:43:44"/>
    <n v="35"/>
    <n v="0"/>
    <n v="0.8"/>
    <s v="KA"/>
    <s v="KA"/>
    <m/>
  </r>
  <r>
    <s v="C80"/>
    <x v="1"/>
    <n v="8099389567"/>
    <n v="825078324"/>
    <x v="8"/>
    <s v="Harsh Vora"/>
    <n v="1000000023"/>
    <x v="1"/>
    <n v="1"/>
    <x v="0"/>
    <n v="1"/>
    <n v="0"/>
    <x v="1"/>
    <n v="0"/>
    <x v="0"/>
    <d v="2026-08-03T11:44:26"/>
    <d v="2026-08-03T11:45:49"/>
    <n v="83"/>
    <n v="0"/>
    <n v="1.2"/>
    <s v="KA"/>
    <s v="KA"/>
    <m/>
  </r>
  <r>
    <s v="C82"/>
    <x v="1"/>
    <n v="8099389567"/>
    <n v="28076397"/>
    <x v="25"/>
    <s v="Tanvi Kulkarni"/>
    <n v="1000000018"/>
    <x v="1"/>
    <n v="1"/>
    <x v="0"/>
    <n v="1"/>
    <n v="0"/>
    <x v="1"/>
    <n v="0"/>
    <x v="0"/>
    <d v="2026-08-03T11:46:22"/>
    <d v="2026-08-03T11:46:49"/>
    <n v="27"/>
    <n v="0"/>
    <n v="1.1499999999999999"/>
    <s v="KA"/>
    <s v="AP"/>
    <m/>
  </r>
  <r>
    <s v="C84"/>
    <x v="1"/>
    <n v="8099389567"/>
    <n v="339178217"/>
    <x v="37"/>
    <s v="Rohit Bedi"/>
    <n v="1000000039"/>
    <x v="1"/>
    <n v="1"/>
    <x v="0"/>
    <n v="1"/>
    <n v="0"/>
    <x v="1"/>
    <n v="0"/>
    <x v="0"/>
    <d v="2026-08-03T11:47:47"/>
    <d v="2026-08-03T11:48:51"/>
    <n v="64"/>
    <n v="0"/>
    <n v="1.1499999999999999"/>
    <s v="KA"/>
    <s v="MH"/>
    <m/>
  </r>
  <r>
    <s v="C85"/>
    <x v="1"/>
    <n v="8099389567"/>
    <n v="216009614"/>
    <x v="21"/>
    <s v="Arjun Kapoor"/>
    <n v="1000000011"/>
    <x v="1"/>
    <n v="1"/>
    <x v="0"/>
    <n v="1"/>
    <n v="0"/>
    <x v="1"/>
    <n v="0"/>
    <x v="0"/>
    <d v="2026-08-03T11:49:00"/>
    <d v="2026-08-03T11:49:51"/>
    <n v="51"/>
    <n v="0"/>
    <n v="1.1499999999999999"/>
    <s v="KA"/>
    <s v="MU"/>
    <m/>
  </r>
  <r>
    <s v="C86"/>
    <x v="1"/>
    <n v="8099389567"/>
    <n v="943055309"/>
    <x v="9"/>
    <s v="Amit Khanna"/>
    <n v="1000000035"/>
    <x v="4"/>
    <n v="0"/>
    <x v="0"/>
    <n v="0"/>
    <n v="0"/>
    <x v="1"/>
    <n v="0"/>
    <x v="0"/>
    <d v="2026-08-03T11:49:23"/>
    <d v="2026-08-03T11:50:05"/>
    <n v="43"/>
    <n v="1"/>
    <n v="0.4"/>
    <s v="KA"/>
    <s v="KA"/>
    <m/>
  </r>
  <r>
    <s v="C87"/>
    <x v="1"/>
    <n v="8099389567"/>
    <n v="955524766"/>
    <x v="6"/>
    <s v="Ishita Gupta"/>
    <n v="1000000016"/>
    <x v="3"/>
    <n v="0"/>
    <x v="0"/>
    <n v="0"/>
    <n v="0"/>
    <x v="1"/>
    <n v="0"/>
    <x v="0"/>
    <d v="2026-08-03T11:50:12"/>
    <d v="2026-08-03T11:50:34"/>
    <n v="21"/>
    <n v="1"/>
    <n v="0.4"/>
    <s v="KA"/>
    <s v="MU"/>
    <m/>
  </r>
  <r>
    <s v="C88"/>
    <x v="1"/>
    <n v="8099389567"/>
    <n v="202587474"/>
    <x v="31"/>
    <s v="Arjun Kapoor"/>
    <n v="1000000011"/>
    <x v="4"/>
    <n v="0"/>
    <x v="0"/>
    <n v="0"/>
    <n v="0"/>
    <x v="1"/>
    <n v="0"/>
    <x v="0"/>
    <d v="2026-08-03T11:50:21"/>
    <d v="2026-08-03T11:51:00"/>
    <n v="40"/>
    <n v="1"/>
    <n v="0.4"/>
    <s v="KA"/>
    <s v="TN"/>
    <m/>
  </r>
  <r>
    <s v="C89"/>
    <x v="1"/>
    <n v="8099389567"/>
    <n v="460001201"/>
    <x v="39"/>
    <s v="Nandini Bose"/>
    <n v="1000000030"/>
    <x v="4"/>
    <n v="0"/>
    <x v="0"/>
    <n v="0"/>
    <n v="0"/>
    <x v="1"/>
    <n v="0"/>
    <x v="0"/>
    <d v="2026-08-03T11:51:10"/>
    <d v="2026-08-03T11:51:51"/>
    <n v="30"/>
    <n v="1"/>
    <m/>
    <s v="KA"/>
    <s v="TN"/>
    <m/>
  </r>
  <r>
    <s v="C91"/>
    <x v="1"/>
    <n v="8099389567"/>
    <n v="531050746"/>
    <x v="5"/>
    <s v="Tanvi Kulkarni"/>
    <n v="1000000018"/>
    <x v="1"/>
    <n v="1"/>
    <x v="0"/>
    <n v="1"/>
    <n v="0"/>
    <x v="1"/>
    <n v="0"/>
    <x v="0"/>
    <d v="2026-08-03T11:51:36"/>
    <d v="2026-08-03T11:52:12"/>
    <n v="37"/>
    <n v="0"/>
    <n v="1.1499999999999999"/>
    <s v="KA"/>
    <s v="BR"/>
    <m/>
  </r>
  <r>
    <s v="C92"/>
    <x v="1"/>
    <n v="8099389567"/>
    <n v="564329548"/>
    <x v="28"/>
    <s v="Kriti Dutta"/>
    <n v="1000000036"/>
    <x v="1"/>
    <n v="1"/>
    <x v="0"/>
    <n v="1"/>
    <n v="0"/>
    <x v="1"/>
    <n v="0"/>
    <x v="0"/>
    <d v="2026-08-03T11:52:23"/>
    <d v="2026-08-03T11:53:25"/>
    <n v="62"/>
    <n v="0"/>
    <n v="1.1499999999999999"/>
    <s v="KA"/>
    <s v="DL"/>
    <m/>
  </r>
  <r>
    <s v="C93"/>
    <x v="1"/>
    <n v="8099389567"/>
    <n v="11750308"/>
    <x v="32"/>
    <s v="Varun Singh"/>
    <n v="1000000015"/>
    <x v="1"/>
    <n v="1"/>
    <x v="0"/>
    <n v="1"/>
    <n v="0"/>
    <x v="1"/>
    <n v="0"/>
    <x v="0"/>
    <d v="2026-08-03T11:53:43"/>
    <d v="2026-08-03T11:55:35"/>
    <n v="117"/>
    <n v="0"/>
    <n v="2.2999999999999998"/>
    <s v="KA"/>
    <s v="MH"/>
    <m/>
  </r>
  <r>
    <s v="C94"/>
    <x v="1"/>
    <n v="8099389567"/>
    <n v="438325412"/>
    <x v="37"/>
    <s v="Akash Yadav"/>
    <n v="1000000021"/>
    <x v="3"/>
    <n v="0"/>
    <x v="0"/>
    <n v="0"/>
    <n v="0"/>
    <x v="1"/>
    <n v="0"/>
    <x v="0"/>
    <d v="2026-08-03T11:54:06"/>
    <d v="2026-08-03T11:54:17"/>
    <n v="11"/>
    <n v="1"/>
    <n v="0.4"/>
    <s v="KA"/>
    <s v="DL"/>
    <m/>
  </r>
  <r>
    <s v="C95"/>
    <x v="1"/>
    <n v="8099389567"/>
    <n v="8601450"/>
    <x v="28"/>
    <s v="Ananya Nair"/>
    <n v="1000000004"/>
    <x v="4"/>
    <n v="0"/>
    <x v="0"/>
    <n v="0"/>
    <n v="0"/>
    <x v="1"/>
    <n v="0"/>
    <x v="0"/>
    <d v="2026-08-03T11:58:24"/>
    <d v="2026-08-03T11:59:07"/>
    <n v="43"/>
    <n v="1"/>
    <n v="0.4"/>
    <s v="KA"/>
    <s v="RJ"/>
    <m/>
  </r>
  <r>
    <s v="C97"/>
    <x v="1"/>
    <n v="8099389567"/>
    <n v="187307575"/>
    <x v="9"/>
    <s v="Vikram Patel"/>
    <n v="1000000003"/>
    <x v="4"/>
    <n v="0"/>
    <x v="0"/>
    <n v="0"/>
    <n v="0"/>
    <x v="1"/>
    <n v="0"/>
    <x v="0"/>
    <d v="2026-08-03T12:17:26"/>
    <d v="2026-08-03T12:18:08"/>
    <n v="42"/>
    <n v="1"/>
    <n v="0.4"/>
    <s v="KA"/>
    <s v="RJ"/>
    <m/>
  </r>
  <r>
    <s v="C98"/>
    <x v="1"/>
    <n v="8099389567"/>
    <n v="275991506"/>
    <x v="20"/>
    <s v="Akash Yadav"/>
    <n v="1000000021"/>
    <x v="1"/>
    <n v="1"/>
    <x v="0"/>
    <n v="1"/>
    <n v="0"/>
    <x v="1"/>
    <n v="0"/>
    <x v="0"/>
    <d v="2026-08-03T12:18:26"/>
    <d v="2026-08-03T12:19:11"/>
    <n v="45"/>
    <n v="0"/>
    <n v="1.1499999999999999"/>
    <s v="KA"/>
    <s v="TN"/>
    <m/>
  </r>
  <r>
    <s v="C99"/>
    <x v="1"/>
    <n v="8099389567"/>
    <n v="542036312"/>
    <x v="11"/>
    <s v="Aditi Ghosh"/>
    <n v="1000000026"/>
    <x v="1"/>
    <n v="1"/>
    <x v="0"/>
    <n v="1"/>
    <n v="0"/>
    <x v="1"/>
    <n v="0"/>
    <x v="0"/>
    <d v="2026-08-03T12:19:33"/>
    <d v="2026-08-03T12:20:18"/>
    <n v="46"/>
    <n v="0"/>
    <n v="1.1499999999999999"/>
    <s v="KA"/>
    <s v="MH"/>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6EDD02-BF03-4940-9EA5-6401E8A3533B}" name="Monthly_Call_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J30:K32" firstHeaderRow="1" firstDataRow="1" firstDataCol="1"/>
  <pivotFields count="24">
    <pivotField showAll="0"/>
    <pivotField showAll="0">
      <items count="3">
        <item x="0"/>
        <item x="1"/>
        <item t="default"/>
      </items>
    </pivotField>
    <pivotField showAll="0"/>
    <pivotField showAll="0"/>
    <pivotField showAll="0">
      <items count="52">
        <item x="21"/>
        <item x="41"/>
        <item x="39"/>
        <item x="25"/>
        <item x="33"/>
        <item x="2"/>
        <item x="27"/>
        <item x="19"/>
        <item x="4"/>
        <item x="50"/>
        <item x="32"/>
        <item x="20"/>
        <item x="24"/>
        <item x="38"/>
        <item x="23"/>
        <item x="47"/>
        <item x="17"/>
        <item x="7"/>
        <item x="34"/>
        <item x="22"/>
        <item x="31"/>
        <item x="43"/>
        <item x="6"/>
        <item x="42"/>
        <item x="12"/>
        <item x="10"/>
        <item x="29"/>
        <item x="48"/>
        <item x="18"/>
        <item x="45"/>
        <item x="37"/>
        <item x="1"/>
        <item x="3"/>
        <item x="49"/>
        <item x="14"/>
        <item x="15"/>
        <item x="8"/>
        <item x="28"/>
        <item x="13"/>
        <item x="0"/>
        <item x="40"/>
        <item x="5"/>
        <item x="9"/>
        <item x="44"/>
        <item x="36"/>
        <item x="26"/>
        <item x="30"/>
        <item x="46"/>
        <item x="11"/>
        <item x="16"/>
        <item x="35"/>
        <item t="default"/>
      </items>
    </pivotField>
    <pivotField showAll="0"/>
    <pivotField showAll="0"/>
    <pivotField showAll="0"/>
    <pivotField showAll="0"/>
    <pivotField dataField="1" showAll="0"/>
    <pivotField showAll="0"/>
    <pivotField showAll="0"/>
    <pivotField showAll="0"/>
    <pivotField showAll="0"/>
    <pivotField numFmtId="14" showAll="0">
      <items count="7">
        <item x="1"/>
        <item x="0"/>
        <item x="2"/>
        <item x="3"/>
        <item x="4"/>
        <item x="5"/>
        <item t="default"/>
      </items>
    </pivotField>
    <pivotField numFmtId="22" showAll="0"/>
    <pivotField numFmtId="22"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3"/>
  </rowFields>
  <rowItems count="2">
    <i>
      <x v="8"/>
    </i>
    <i t="grand">
      <x/>
    </i>
  </rowItems>
  <colItems count="1">
    <i/>
  </colItems>
  <dataFields count="1">
    <dataField name="Sum of Total call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1391B-0059-46B8-9E14-39F1A043B34F}" name="Call_Status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5:K22" firstHeaderRow="1" firstDataRow="1" firstDataCol="1"/>
  <pivotFields count="24">
    <pivotField showAll="0"/>
    <pivotField showAll="0">
      <items count="3">
        <item x="0"/>
        <item x="1"/>
        <item t="default"/>
      </items>
    </pivotField>
    <pivotField showAll="0"/>
    <pivotField showAll="0"/>
    <pivotField showAll="0">
      <items count="52">
        <item x="21"/>
        <item x="41"/>
        <item x="39"/>
        <item x="25"/>
        <item x="33"/>
        <item x="2"/>
        <item x="27"/>
        <item x="19"/>
        <item x="4"/>
        <item x="50"/>
        <item x="32"/>
        <item x="20"/>
        <item x="24"/>
        <item x="38"/>
        <item x="23"/>
        <item x="47"/>
        <item x="17"/>
        <item x="7"/>
        <item x="34"/>
        <item x="22"/>
        <item x="31"/>
        <item x="43"/>
        <item x="6"/>
        <item x="42"/>
        <item x="12"/>
        <item x="10"/>
        <item x="29"/>
        <item x="48"/>
        <item x="18"/>
        <item x="45"/>
        <item x="37"/>
        <item x="1"/>
        <item x="3"/>
        <item x="49"/>
        <item x="14"/>
        <item x="15"/>
        <item x="8"/>
        <item x="28"/>
        <item x="13"/>
        <item x="0"/>
        <item x="40"/>
        <item x="5"/>
        <item x="9"/>
        <item x="44"/>
        <item x="36"/>
        <item x="26"/>
        <item x="30"/>
        <item x="46"/>
        <item x="11"/>
        <item x="16"/>
        <item x="35"/>
        <item t="default"/>
      </items>
    </pivotField>
    <pivotField showAll="0"/>
    <pivotField showAll="0"/>
    <pivotField axis="axisRow" showAll="0">
      <items count="7">
        <item x="5"/>
        <item x="0"/>
        <item x="1"/>
        <item x="3"/>
        <item x="2"/>
        <item x="4"/>
        <item t="default"/>
      </items>
    </pivotField>
    <pivotField showAll="0"/>
    <pivotField dataField="1" showAll="0"/>
    <pivotField showAll="0"/>
    <pivotField showAll="0"/>
    <pivotField showAll="0"/>
    <pivotField showAll="0"/>
    <pivotField numFmtId="14" showAll="0">
      <items count="7">
        <item x="1"/>
        <item x="0"/>
        <item x="2"/>
        <item x="3"/>
        <item x="4"/>
        <item x="5"/>
        <item t="default"/>
      </items>
    </pivotField>
    <pivotField numFmtId="22" showAll="0"/>
    <pivotField numFmtId="22"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Total calls" fld="9" baseField="0" baseItem="0"/>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2" format="12">
      <pivotArea type="data" outline="0" fieldPosition="0">
        <references count="2">
          <reference field="4294967294" count="1" selected="0">
            <x v="0"/>
          </reference>
          <reference field="7" count="1" selected="0">
            <x v="3"/>
          </reference>
        </references>
      </pivotArea>
    </chartFormat>
    <chartFormat chart="2" format="13">
      <pivotArea type="data" outline="0" fieldPosition="0">
        <references count="2">
          <reference field="4294967294" count="1" selected="0">
            <x v="0"/>
          </reference>
          <reference field="7" count="1" selected="0">
            <x v="4"/>
          </reference>
        </references>
      </pivotArea>
    </chartFormat>
    <chartFormat chart="2"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D5B843-A36E-4C31-A2A7-CC068857E2F0}" name="Call_Direction_Analys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J3:J4" firstHeaderRow="1" firstDataRow="1" firstDataCol="0"/>
  <pivotFields count="24">
    <pivotField showAll="0"/>
    <pivotField showAll="0">
      <items count="3">
        <item x="0"/>
        <item x="1"/>
        <item t="default"/>
      </items>
    </pivotField>
    <pivotField showAll="0"/>
    <pivotField showAll="0"/>
    <pivotField showAll="0">
      <items count="52">
        <item x="21"/>
        <item x="41"/>
        <item x="39"/>
        <item x="25"/>
        <item x="33"/>
        <item x="2"/>
        <item x="27"/>
        <item x="19"/>
        <item x="4"/>
        <item x="50"/>
        <item x="32"/>
        <item x="20"/>
        <item x="24"/>
        <item x="38"/>
        <item x="23"/>
        <item x="47"/>
        <item x="17"/>
        <item x="7"/>
        <item x="34"/>
        <item x="22"/>
        <item x="31"/>
        <item x="43"/>
        <item x="6"/>
        <item x="42"/>
        <item x="12"/>
        <item x="10"/>
        <item x="29"/>
        <item x="48"/>
        <item x="18"/>
        <item x="45"/>
        <item x="37"/>
        <item x="1"/>
        <item x="3"/>
        <item x="49"/>
        <item x="14"/>
        <item x="15"/>
        <item x="8"/>
        <item x="28"/>
        <item x="13"/>
        <item x="0"/>
        <item x="40"/>
        <item x="5"/>
        <item x="9"/>
        <item x="44"/>
        <item x="36"/>
        <item x="26"/>
        <item x="30"/>
        <item x="46"/>
        <item x="11"/>
        <item x="16"/>
        <item x="35"/>
        <item t="default"/>
      </items>
    </pivotField>
    <pivotField showAll="0"/>
    <pivotField showAll="0"/>
    <pivotField showAll="0"/>
    <pivotField showAll="0"/>
    <pivotField dataField="1" showAll="0"/>
    <pivotField showAll="0"/>
    <pivotField showAll="0"/>
    <pivotField showAll="0"/>
    <pivotField showAll="0"/>
    <pivotField numFmtId="14" showAll="0">
      <items count="7">
        <item x="1"/>
        <item x="0"/>
        <item x="2"/>
        <item x="3"/>
        <item x="4"/>
        <item x="5"/>
        <item t="default"/>
      </items>
    </pivotField>
    <pivotField numFmtId="22" showAll="0"/>
    <pivotField numFmtId="22"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calls2" fld="9" baseField="0" baseItem="0"/>
  </dataFields>
  <chartFormats count="2">
    <chartFormat chart="7" format="5"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433169-F275-4922-9F52-AE68C9B7F01D}" name="Salesperson_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55" firstHeaderRow="0" firstDataRow="1" firstDataCol="1"/>
  <pivotFields count="24">
    <pivotField showAll="0"/>
    <pivotField showAll="0">
      <items count="3">
        <item x="0"/>
        <item x="1"/>
        <item t="default"/>
      </items>
    </pivotField>
    <pivotField showAll="0"/>
    <pivotField showAll="0"/>
    <pivotField axis="axisRow" showAll="0">
      <items count="52">
        <item x="21"/>
        <item x="41"/>
        <item x="39"/>
        <item x="25"/>
        <item x="33"/>
        <item x="2"/>
        <item x="27"/>
        <item x="19"/>
        <item x="4"/>
        <item x="50"/>
        <item x="32"/>
        <item x="20"/>
        <item x="24"/>
        <item x="38"/>
        <item x="23"/>
        <item x="47"/>
        <item x="17"/>
        <item x="7"/>
        <item x="34"/>
        <item x="22"/>
        <item x="31"/>
        <item x="43"/>
        <item x="6"/>
        <item x="42"/>
        <item x="12"/>
        <item x="10"/>
        <item x="29"/>
        <item x="48"/>
        <item x="18"/>
        <item x="45"/>
        <item x="37"/>
        <item x="1"/>
        <item x="3"/>
        <item x="49"/>
        <item x="14"/>
        <item x="15"/>
        <item x="8"/>
        <item x="28"/>
        <item x="13"/>
        <item x="0"/>
        <item x="40"/>
        <item x="5"/>
        <item x="9"/>
        <item x="44"/>
        <item x="36"/>
        <item x="26"/>
        <item x="30"/>
        <item x="46"/>
        <item x="11"/>
        <item x="16"/>
        <item x="35"/>
        <item t="default"/>
      </items>
    </pivotField>
    <pivotField showAll="0"/>
    <pivotField showAll="0"/>
    <pivotField showAll="0"/>
    <pivotField dataField="1" showAll="0"/>
    <pivotField dataField="1" showAll="0"/>
    <pivotField dataField="1" showAll="0"/>
    <pivotField dataField="1" showAll="0"/>
    <pivotField showAll="0"/>
    <pivotField dataField="1" showAll="0"/>
    <pivotField numFmtId="14" showAll="0">
      <items count="7">
        <item x="1"/>
        <item x="0"/>
        <item x="2"/>
        <item x="3"/>
        <item x="4"/>
        <item x="5"/>
        <item t="default"/>
      </items>
    </pivotField>
    <pivotField numFmtId="22" showAll="0"/>
    <pivotField numFmtId="22"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2"/>
  </colFields>
  <colItems count="6">
    <i>
      <x/>
    </i>
    <i i="1">
      <x v="1"/>
    </i>
    <i i="2">
      <x v="2"/>
    </i>
    <i i="3">
      <x v="3"/>
    </i>
    <i i="4">
      <x v="4"/>
    </i>
    <i i="5">
      <x v="5"/>
    </i>
  </colItems>
  <dataFields count="6">
    <dataField name="Sum of Total calls" fld="9" baseField="4" baseItem="0"/>
    <dataField name="Sum of Incoming Flag" fld="11" baseField="4" baseItem="0"/>
    <dataField name="Sum of Completed calls" fld="8" baseField="4" baseItem="0"/>
    <dataField name="Sum of Completed Incoming" fld="13" baseField="0" baseItem="0"/>
    <dataField name="Sum of CONVERSION Rate" fld="10" baseField="4" baseItem="0" numFmtId="1"/>
    <dataField name="Sum of Price for a call" fld="19"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1D1DDD-7272-4278-B0D8-EB119893458E}" name="Conversion_Rate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40:K92" firstHeaderRow="1" firstDataRow="1" firstDataCol="1"/>
  <pivotFields count="24">
    <pivotField showAll="0"/>
    <pivotField showAll="0">
      <items count="3">
        <item x="0"/>
        <item x="1"/>
        <item t="default"/>
      </items>
    </pivotField>
    <pivotField showAll="0"/>
    <pivotField showAll="0"/>
    <pivotField axis="axisRow" showAll="0">
      <items count="52">
        <item x="21"/>
        <item x="41"/>
        <item x="39"/>
        <item x="25"/>
        <item x="33"/>
        <item x="2"/>
        <item x="27"/>
        <item x="19"/>
        <item x="4"/>
        <item x="50"/>
        <item x="32"/>
        <item x="20"/>
        <item x="24"/>
        <item x="38"/>
        <item x="23"/>
        <item x="47"/>
        <item x="17"/>
        <item x="7"/>
        <item x="34"/>
        <item x="22"/>
        <item x="31"/>
        <item x="43"/>
        <item x="6"/>
        <item x="42"/>
        <item x="12"/>
        <item x="10"/>
        <item x="29"/>
        <item x="48"/>
        <item x="18"/>
        <item x="45"/>
        <item x="37"/>
        <item x="1"/>
        <item x="3"/>
        <item x="49"/>
        <item x="14"/>
        <item x="15"/>
        <item x="8"/>
        <item x="28"/>
        <item x="13"/>
        <item x="0"/>
        <item x="40"/>
        <item x="5"/>
        <item x="9"/>
        <item x="44"/>
        <item x="36"/>
        <item x="26"/>
        <item x="30"/>
        <item x="46"/>
        <item x="11"/>
        <item x="16"/>
        <item x="35"/>
        <item t="default"/>
      </items>
    </pivotField>
    <pivotField showAll="0"/>
    <pivotField showAll="0"/>
    <pivotField showAll="0"/>
    <pivotField showAll="0"/>
    <pivotField showAll="0"/>
    <pivotField dataField="1" showAll="0"/>
    <pivotField showAll="0"/>
    <pivotField showAll="0"/>
    <pivotField showAll="0"/>
    <pivotField numFmtId="14" showAll="0">
      <items count="7">
        <item x="1"/>
        <item x="0"/>
        <item x="2"/>
        <item x="3"/>
        <item x="4"/>
        <item x="5"/>
        <item t="default"/>
      </items>
    </pivotField>
    <pivotField numFmtId="22" showAll="0"/>
    <pivotField numFmtId="22"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Average of CONVERSION Rate" fld="10" subtotal="average" baseField="4"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_Name" xr10:uid="{0B09E9E9-F349-49DB-845A-97DCDD47BF35}" sourceName="Sales Person Name">
  <pivotTables>
    <pivotTable tabId="5" name="Salesperson_Performance"/>
    <pivotTable tabId="5" name="Call_Direction_Analysis"/>
    <pivotTable tabId="5" name="Call_Status_Analysis"/>
    <pivotTable tabId="5" name="Conversion_Rate_Analysis"/>
    <pivotTable tabId="5" name="Monthly_Call_Trend"/>
  </pivotTables>
  <data>
    <tabular pivotCacheId="764874683">
      <items count="51">
        <i x="21" s="1"/>
        <i x="41" s="1"/>
        <i x="39" s="1"/>
        <i x="25" s="1"/>
        <i x="33" s="1"/>
        <i x="2" s="1"/>
        <i x="27" s="1"/>
        <i x="19" s="1"/>
        <i x="4" s="1"/>
        <i x="50" s="1"/>
        <i x="32" s="1"/>
        <i x="20" s="1"/>
        <i x="24" s="1"/>
        <i x="38" s="1"/>
        <i x="23" s="1"/>
        <i x="47" s="1"/>
        <i x="17" s="1"/>
        <i x="7" s="1"/>
        <i x="34" s="1"/>
        <i x="22" s="1"/>
        <i x="31" s="1"/>
        <i x="43" s="1"/>
        <i x="6" s="1"/>
        <i x="42" s="1"/>
        <i x="12" s="1"/>
        <i x="10" s="1"/>
        <i x="29" s="1"/>
        <i x="48" s="1"/>
        <i x="18" s="1"/>
        <i x="45" s="1"/>
        <i x="37" s="1"/>
        <i x="1" s="1"/>
        <i x="3" s="1"/>
        <i x="49" s="1"/>
        <i x="14" s="1"/>
        <i x="15" s="1"/>
        <i x="8" s="1"/>
        <i x="28" s="1"/>
        <i x="13" s="1"/>
        <i x="0" s="1"/>
        <i x="40" s="1"/>
        <i x="5" s="1"/>
        <i x="9" s="1"/>
        <i x="44" s="1"/>
        <i x="36" s="1"/>
        <i x="26" s="1"/>
        <i x="30" s="1"/>
        <i x="46" s="1"/>
        <i x="11" s="1"/>
        <i x="16" s="1"/>
        <i x="3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ion" xr10:uid="{B5A45C31-E01E-4204-B5C1-EC0D8E72ED45}" sourceName="Direction">
  <pivotTables>
    <pivotTable tabId="5" name="Salesperson_Performance"/>
    <pivotTable tabId="5" name="Call_Direction_Analysis"/>
    <pivotTable tabId="5" name="Call_Status_Analysis"/>
    <pivotTable tabId="5" name="Conversion_Rate_Analysis"/>
    <pivotTable tabId="5" name="Monthly_Call_Trend"/>
  </pivotTables>
  <data>
    <tabular pivotCacheId="76487468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Name" xr10:uid="{E5E1A90B-F7B4-418E-BE48-A18A4F65CAB0}" cache="Slicer_Sales_Person_Name" caption="Sales Person Name" startItem="24" rowHeight="247650"/>
  <slicer name="Direction" xr10:uid="{F8AC7C40-956E-4EF1-A86A-9E0EB22671C7}" cache="Slicer_Direction" caption="Direct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7D1C66-0DB6-4942-B877-97464C0C2F5E}" name="SalesData" displayName="SalesData" ref="A1:W369" totalsRowShown="0" headerRowDxfId="26" dataDxfId="24" headerRowBorderDxfId="25" tableBorderDxfId="23">
  <autoFilter ref="A1:W369" xr:uid="{CB7D1C66-0DB6-4942-B877-97464C0C2F5E}"/>
  <tableColumns count="23">
    <tableColumn id="1" xr3:uid="{79B70531-3955-4306-A7F5-47AAE8441E2D}" name="Call ID" dataDxfId="22"/>
    <tableColumn id="2" xr3:uid="{1E770BA2-7BB5-4C19-A5C4-10E48E52E285}" name="Direction" dataDxfId="21"/>
    <tableColumn id="3" xr3:uid="{C61DC3E6-65FE-4D29-9226-CFF493F35FC3}" name="CallKaro Number" dataDxfId="20"/>
    <tableColumn id="4" xr3:uid="{A1694026-F78D-466F-A41B-BD6827338497}" name="Sales Person Number" dataDxfId="19"/>
    <tableColumn id="5" xr3:uid="{E86DAB22-3809-4066-BA1F-4F3C55EF2823}" name="Sales Person Name" dataDxfId="18"/>
    <tableColumn id="6" xr3:uid="{73930B04-A6F4-47DA-80C0-ACCD9F680921}" name="Cust Name" dataDxfId="17"/>
    <tableColumn id="7" xr3:uid="{7BEC6A72-BD81-41F5-AC4B-6C71B3C7B6B9}" name="Cust Number" dataDxfId="16"/>
    <tableColumn id="8" xr3:uid="{ADDCBF82-268A-4A81-A411-61D2BF4C93FD}" name="Status of Call" dataDxfId="15"/>
    <tableColumn id="19" xr3:uid="{43F48CC9-35C2-4E55-BBB5-7B5BF46251BA}" name="Completed calls" dataDxfId="14">
      <calculatedColumnFormula>IF(SalesData[[#This Row],[Status of Call]]="completed",1,0)</calculatedColumnFormula>
    </tableColumn>
    <tableColumn id="20" xr3:uid="{C9C007B7-5EA5-4BF1-AD9C-2ACC59D10FB9}" name="Total calls" dataDxfId="13">
      <calculatedColumnFormula>1</calculatedColumnFormula>
    </tableColumn>
    <tableColumn id="21" xr3:uid="{8F3E227D-7FE2-4F84-9EA7-E666CE0ADD60}" name="CONVERSION Rate" dataDxfId="12">
      <calculatedColumnFormula>SalesData[[#This Row],[Completed calls]]/SalesData[[#This Row],[Total calls]]</calculatedColumnFormula>
    </tableColumn>
    <tableColumn id="9" xr3:uid="{1FCE1753-4F86-4418-B177-92395A2DD1A9}" name="Incoming Flag" dataDxfId="11">
      <calculatedColumnFormula>IF(B2="incoming",1,0)</calculatedColumnFormula>
    </tableColumn>
    <tableColumn id="23" xr3:uid="{68BEB2DA-AB1F-4A72-A76E-779BDA8ED910}" name="Outgoing Flag" dataDxfId="10">
      <calculatedColumnFormula>IF(B2="Outgoing",1,0)</calculatedColumnFormula>
    </tableColumn>
    <tableColumn id="10" xr3:uid="{B0AEF522-9CE2-49C9-916A-914DBDB528CE}" name="Completed Incoming" dataDxfId="9"/>
    <tableColumn id="11" xr3:uid="{96504927-B456-4E42-9E06-7C55057F58BF}" name="Date" dataDxfId="8"/>
    <tableColumn id="12" xr3:uid="{73E861DA-DA38-4DCF-BEA9-3EBB6A7C9E54}" name="StartTime" dataDxfId="7"/>
    <tableColumn id="13" xr3:uid="{F56D44B4-5A7E-4F45-936C-CA406681EAB1}" name="EndTime" dataDxfId="6"/>
    <tableColumn id="14" xr3:uid="{7E2F0B85-646F-41BC-A4C0-FF78EEC812A0}" name="Duration of call (in Sec)" dataDxfId="5"/>
    <tableColumn id="15" xr3:uid="{CA0E672F-A06A-4EC8-B670-FFB62B7F01B5}" name="MISSED-Failed-no answer" dataDxfId="4">
      <calculatedColumnFormula>IF(OR(H2="failed",H2="no-answer",H2="missed-call"),1,0)</calculatedColumnFormula>
    </tableColumn>
    <tableColumn id="16" xr3:uid="{CDA50E6A-795E-4B53-9DC2-25D99AA0BA44}" name="Price for a call" dataDxfId="3"/>
    <tableColumn id="17" xr3:uid="{D5F3C14D-E812-4F89-BEA2-6198E882B1D7}" name="Sales Person Location" dataDxfId="2"/>
    <tableColumn id="18" xr3:uid="{4A54A532-44DD-4713-A268-6F6C43CD2CC5}" name="Customer Location" dataDxfId="1"/>
    <tableColumn id="22" xr3:uid="{30BA1586-ADA7-4243-8FB2-36F086537D3B}"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B0D7091-45F7-466E-9F4D-CF16AB547498}" sourceName="Date">
  <pivotTables>
    <pivotTable tabId="5" name="Monthly_Call_Trend"/>
    <pivotTable tabId="5" name="Call_Direction_Analysis"/>
  </pivotTables>
  <state minimalRefreshVersion="6" lastRefreshVersion="6" pivotCacheId="76487468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29B91F6-E7EE-4CA9-BBEB-0B9E4CD80691}" cache="NativeTimeline_Date" caption="Date" level="2" selectionLevel="2" scrollPosition="2026-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7512-4452-4543-AE46-21369BB716CD}">
  <dimension ref="A3:K92"/>
  <sheetViews>
    <sheetView zoomScale="55" workbookViewId="0">
      <selection activeCell="J15" sqref="J15"/>
    </sheetView>
  </sheetViews>
  <sheetFormatPr defaultRowHeight="14.4" x14ac:dyDescent="0.3"/>
  <cols>
    <col min="1" max="1" width="20.109375" bestFit="1" customWidth="1"/>
    <col min="2" max="2" width="21.88671875" bestFit="1" customWidth="1"/>
    <col min="3" max="3" width="26" bestFit="1" customWidth="1"/>
    <col min="4" max="4" width="28.44140625" bestFit="1" customWidth="1"/>
    <col min="5" max="5" width="33.44140625" bestFit="1" customWidth="1"/>
    <col min="6" max="6" width="32" bestFit="1" customWidth="1"/>
    <col min="7" max="7" width="26.77734375" bestFit="1" customWidth="1"/>
    <col min="10" max="10" width="18.44140625" bestFit="1" customWidth="1"/>
    <col min="11" max="11" width="21.88671875" bestFit="1" customWidth="1"/>
    <col min="12" max="12" width="23.33203125" bestFit="1" customWidth="1"/>
  </cols>
  <sheetData>
    <row r="3" spans="1:11" x14ac:dyDescent="0.3">
      <c r="A3" s="15" t="s">
        <v>506</v>
      </c>
      <c r="B3" t="s">
        <v>508</v>
      </c>
      <c r="C3" t="s">
        <v>509</v>
      </c>
      <c r="D3" t="s">
        <v>510</v>
      </c>
      <c r="E3" t="s">
        <v>511</v>
      </c>
      <c r="F3" t="s">
        <v>512</v>
      </c>
      <c r="G3" t="s">
        <v>513</v>
      </c>
      <c r="J3" t="s">
        <v>525</v>
      </c>
    </row>
    <row r="4" spans="1:11" x14ac:dyDescent="0.3">
      <c r="A4" s="16" t="s">
        <v>64</v>
      </c>
      <c r="B4" s="30">
        <v>8</v>
      </c>
      <c r="C4" s="30">
        <v>3</v>
      </c>
      <c r="D4" s="30">
        <v>3</v>
      </c>
      <c r="E4" s="30">
        <v>1</v>
      </c>
      <c r="F4" s="22">
        <v>3</v>
      </c>
      <c r="G4" s="18">
        <v>3.9</v>
      </c>
      <c r="J4" s="30">
        <v>368</v>
      </c>
    </row>
    <row r="5" spans="1:11" x14ac:dyDescent="0.3">
      <c r="A5" s="16" t="s">
        <v>227</v>
      </c>
      <c r="B5" s="30">
        <v>1</v>
      </c>
      <c r="C5" s="30">
        <v>1</v>
      </c>
      <c r="D5" s="30">
        <v>0</v>
      </c>
      <c r="E5" s="30">
        <v>0</v>
      </c>
      <c r="F5" s="22">
        <v>0</v>
      </c>
      <c r="G5" s="18"/>
    </row>
    <row r="6" spans="1:11" x14ac:dyDescent="0.3">
      <c r="A6" s="16" t="s">
        <v>197</v>
      </c>
      <c r="B6" s="30">
        <v>7</v>
      </c>
      <c r="C6" s="30">
        <v>2</v>
      </c>
      <c r="D6" s="30">
        <v>3</v>
      </c>
      <c r="E6" s="30">
        <v>2</v>
      </c>
      <c r="F6" s="22">
        <v>3</v>
      </c>
      <c r="G6" s="18">
        <v>7.9500000000000011</v>
      </c>
    </row>
    <row r="7" spans="1:11" x14ac:dyDescent="0.3">
      <c r="A7" s="16" t="s">
        <v>106</v>
      </c>
      <c r="B7" s="30">
        <v>7</v>
      </c>
      <c r="C7" s="30">
        <v>3</v>
      </c>
      <c r="D7" s="30">
        <v>5</v>
      </c>
      <c r="E7" s="30">
        <v>2</v>
      </c>
      <c r="F7" s="22">
        <v>5</v>
      </c>
      <c r="G7" s="18">
        <v>4.6500000000000004</v>
      </c>
    </row>
    <row r="8" spans="1:11" x14ac:dyDescent="0.3">
      <c r="A8" s="16" t="s">
        <v>28</v>
      </c>
      <c r="B8" s="30">
        <v>8</v>
      </c>
      <c r="C8" s="30">
        <v>3</v>
      </c>
      <c r="D8" s="30">
        <v>5</v>
      </c>
      <c r="E8" s="30">
        <v>3</v>
      </c>
      <c r="F8" s="22">
        <v>5</v>
      </c>
      <c r="G8" s="18">
        <v>17.5</v>
      </c>
    </row>
    <row r="9" spans="1:11" x14ac:dyDescent="0.3">
      <c r="A9" s="16" t="s">
        <v>30</v>
      </c>
      <c r="B9" s="30">
        <v>8</v>
      </c>
      <c r="C9" s="30">
        <v>5</v>
      </c>
      <c r="D9" s="30">
        <v>4</v>
      </c>
      <c r="E9" s="30">
        <v>3</v>
      </c>
      <c r="F9" s="22">
        <v>4</v>
      </c>
      <c r="G9" s="18">
        <v>12.750000000000002</v>
      </c>
    </row>
    <row r="10" spans="1:11" x14ac:dyDescent="0.3">
      <c r="A10" s="16" t="s">
        <v>121</v>
      </c>
      <c r="B10" s="30">
        <v>8</v>
      </c>
      <c r="C10" s="30">
        <v>4</v>
      </c>
      <c r="D10" s="30">
        <v>5</v>
      </c>
      <c r="E10" s="30">
        <v>4</v>
      </c>
      <c r="F10" s="22">
        <v>5</v>
      </c>
      <c r="G10" s="18">
        <v>4.3</v>
      </c>
    </row>
    <row r="11" spans="1:11" x14ac:dyDescent="0.3">
      <c r="A11" s="16" t="s">
        <v>86</v>
      </c>
      <c r="B11" s="30">
        <v>7</v>
      </c>
      <c r="C11" s="30">
        <v>5</v>
      </c>
      <c r="D11" s="30">
        <v>4</v>
      </c>
      <c r="E11" s="30">
        <v>2</v>
      </c>
      <c r="F11" s="22">
        <v>4</v>
      </c>
      <c r="G11" s="18">
        <v>3.55</v>
      </c>
    </row>
    <row r="12" spans="1:11" x14ac:dyDescent="0.3">
      <c r="A12" s="16" t="s">
        <v>37</v>
      </c>
      <c r="B12" s="30">
        <v>7</v>
      </c>
      <c r="C12" s="30">
        <v>4</v>
      </c>
      <c r="D12" s="30">
        <v>5</v>
      </c>
      <c r="E12" s="30">
        <v>4</v>
      </c>
      <c r="F12" s="22">
        <v>5</v>
      </c>
      <c r="G12" s="18">
        <v>17.149999999999995</v>
      </c>
    </row>
    <row r="13" spans="1:11" x14ac:dyDescent="0.3">
      <c r="A13" s="16" t="s">
        <v>265</v>
      </c>
      <c r="B13" s="30">
        <v>1</v>
      </c>
      <c r="C13" s="30">
        <v>0</v>
      </c>
      <c r="D13" s="30">
        <v>1</v>
      </c>
      <c r="E13" s="30">
        <v>0</v>
      </c>
      <c r="F13" s="22">
        <v>1</v>
      </c>
      <c r="G13" s="18">
        <v>3.85</v>
      </c>
    </row>
    <row r="14" spans="1:11" x14ac:dyDescent="0.3">
      <c r="A14" s="16" t="s">
        <v>145</v>
      </c>
      <c r="B14" s="30">
        <v>7</v>
      </c>
      <c r="C14" s="30">
        <v>3</v>
      </c>
      <c r="D14" s="30">
        <v>3</v>
      </c>
      <c r="E14" s="30">
        <v>1</v>
      </c>
      <c r="F14" s="22">
        <v>3</v>
      </c>
      <c r="G14" s="18">
        <v>6.25</v>
      </c>
    </row>
    <row r="15" spans="1:11" x14ac:dyDescent="0.3">
      <c r="A15" s="16" t="s">
        <v>89</v>
      </c>
      <c r="B15" s="30">
        <v>7</v>
      </c>
      <c r="C15" s="30">
        <v>1</v>
      </c>
      <c r="D15" s="30">
        <v>3</v>
      </c>
      <c r="E15" s="30">
        <v>1</v>
      </c>
      <c r="F15" s="22">
        <v>3</v>
      </c>
      <c r="G15" s="18">
        <v>5.5500000000000007</v>
      </c>
      <c r="J15" s="15" t="s">
        <v>506</v>
      </c>
      <c r="K15" t="s">
        <v>508</v>
      </c>
    </row>
    <row r="16" spans="1:11" x14ac:dyDescent="0.3">
      <c r="A16" s="16" t="s">
        <v>104</v>
      </c>
      <c r="B16" s="30">
        <v>7</v>
      </c>
      <c r="C16" s="30">
        <v>4</v>
      </c>
      <c r="D16" s="30">
        <v>4</v>
      </c>
      <c r="E16" s="30">
        <v>2</v>
      </c>
      <c r="F16" s="22">
        <v>4</v>
      </c>
      <c r="G16" s="18">
        <v>29.049999999999997</v>
      </c>
      <c r="J16" s="16" t="s">
        <v>341</v>
      </c>
      <c r="K16" s="30">
        <v>1</v>
      </c>
    </row>
    <row r="17" spans="1:11" x14ac:dyDescent="0.3">
      <c r="A17" s="16" t="s">
        <v>195</v>
      </c>
      <c r="B17" s="30">
        <v>7</v>
      </c>
      <c r="C17" s="30">
        <v>4</v>
      </c>
      <c r="D17" s="30">
        <v>3</v>
      </c>
      <c r="E17" s="30">
        <v>2</v>
      </c>
      <c r="F17" s="22">
        <v>3</v>
      </c>
      <c r="G17" s="18">
        <v>12.200000000000001</v>
      </c>
      <c r="J17" s="16" t="s">
        <v>24</v>
      </c>
      <c r="K17" s="30">
        <v>64</v>
      </c>
    </row>
    <row r="18" spans="1:11" x14ac:dyDescent="0.3">
      <c r="A18" s="16" t="s">
        <v>101</v>
      </c>
      <c r="B18" s="30">
        <v>7</v>
      </c>
      <c r="C18" s="30">
        <v>5</v>
      </c>
      <c r="D18" s="30">
        <v>5</v>
      </c>
      <c r="E18" s="30">
        <v>3</v>
      </c>
      <c r="F18" s="22">
        <v>5</v>
      </c>
      <c r="G18" s="18">
        <v>12.350000000000001</v>
      </c>
      <c r="J18" s="16" t="s">
        <v>32</v>
      </c>
      <c r="K18" s="30">
        <v>175</v>
      </c>
    </row>
    <row r="19" spans="1:11" x14ac:dyDescent="0.3">
      <c r="A19" s="16" t="s">
        <v>225</v>
      </c>
      <c r="B19" s="30">
        <v>8</v>
      </c>
      <c r="C19" s="30">
        <v>0</v>
      </c>
      <c r="D19" s="30">
        <v>4</v>
      </c>
      <c r="E19" s="30">
        <v>0</v>
      </c>
      <c r="F19" s="22">
        <v>4</v>
      </c>
      <c r="G19" s="18">
        <v>6.2000000000000011</v>
      </c>
      <c r="J19" s="16" t="s">
        <v>322</v>
      </c>
      <c r="K19" s="30">
        <v>51</v>
      </c>
    </row>
    <row r="20" spans="1:11" x14ac:dyDescent="0.3">
      <c r="A20" s="16" t="s">
        <v>77</v>
      </c>
      <c r="B20" s="30">
        <v>8</v>
      </c>
      <c r="C20" s="30">
        <v>4</v>
      </c>
      <c r="D20" s="30">
        <v>4</v>
      </c>
      <c r="E20" s="30">
        <v>2</v>
      </c>
      <c r="F20" s="22">
        <v>4</v>
      </c>
      <c r="G20" s="18">
        <v>9.5000000000000018</v>
      </c>
      <c r="J20" s="16" t="s">
        <v>49</v>
      </c>
      <c r="K20" s="30">
        <v>35</v>
      </c>
    </row>
    <row r="21" spans="1:11" x14ac:dyDescent="0.3">
      <c r="A21" s="16" t="s">
        <v>47</v>
      </c>
      <c r="B21" s="30">
        <v>7</v>
      </c>
      <c r="C21" s="30">
        <v>2</v>
      </c>
      <c r="D21" s="30">
        <v>4</v>
      </c>
      <c r="E21" s="30">
        <v>1</v>
      </c>
      <c r="F21" s="22">
        <v>4</v>
      </c>
      <c r="G21" s="18">
        <v>11.25</v>
      </c>
      <c r="J21" s="16" t="s">
        <v>332</v>
      </c>
      <c r="K21" s="30">
        <v>42</v>
      </c>
    </row>
    <row r="22" spans="1:11" x14ac:dyDescent="0.3">
      <c r="A22" s="16" t="s">
        <v>84</v>
      </c>
      <c r="B22" s="30">
        <v>7</v>
      </c>
      <c r="C22" s="30">
        <v>2</v>
      </c>
      <c r="D22" s="30">
        <v>3</v>
      </c>
      <c r="E22" s="30">
        <v>1</v>
      </c>
      <c r="F22" s="22">
        <v>3</v>
      </c>
      <c r="G22" s="18">
        <v>13.600000000000001</v>
      </c>
      <c r="J22" s="16" t="s">
        <v>507</v>
      </c>
      <c r="K22" s="30">
        <v>368</v>
      </c>
    </row>
    <row r="23" spans="1:11" x14ac:dyDescent="0.3">
      <c r="A23" s="16" t="s">
        <v>97</v>
      </c>
      <c r="B23" s="30">
        <v>8</v>
      </c>
      <c r="C23" s="30">
        <v>4</v>
      </c>
      <c r="D23" s="30">
        <v>4</v>
      </c>
      <c r="E23" s="30">
        <v>2</v>
      </c>
      <c r="F23" s="22">
        <v>4</v>
      </c>
      <c r="G23" s="18">
        <v>10.350000000000001</v>
      </c>
    </row>
    <row r="24" spans="1:11" x14ac:dyDescent="0.3">
      <c r="A24" s="16" t="s">
        <v>140</v>
      </c>
      <c r="B24" s="30">
        <v>7</v>
      </c>
      <c r="C24" s="30">
        <v>6</v>
      </c>
      <c r="D24" s="30">
        <v>5</v>
      </c>
      <c r="E24" s="30">
        <v>5</v>
      </c>
      <c r="F24" s="22">
        <v>5</v>
      </c>
      <c r="G24" s="18">
        <v>10.000000000000002</v>
      </c>
    </row>
    <row r="25" spans="1:11" x14ac:dyDescent="0.3">
      <c r="A25" s="16" t="s">
        <v>231</v>
      </c>
      <c r="B25" s="30">
        <v>1</v>
      </c>
      <c r="C25" s="30">
        <v>1</v>
      </c>
      <c r="D25" s="30">
        <v>0</v>
      </c>
      <c r="E25" s="30">
        <v>0</v>
      </c>
      <c r="F25" s="22">
        <v>0</v>
      </c>
      <c r="G25" s="18"/>
    </row>
    <row r="26" spans="1:11" x14ac:dyDescent="0.3">
      <c r="A26" s="16" t="s">
        <v>44</v>
      </c>
      <c r="B26" s="30">
        <v>8</v>
      </c>
      <c r="C26" s="30">
        <v>4</v>
      </c>
      <c r="D26" s="30">
        <v>3</v>
      </c>
      <c r="E26" s="30">
        <v>3</v>
      </c>
      <c r="F26" s="22">
        <v>3</v>
      </c>
      <c r="G26" s="18">
        <v>3.1999999999999997</v>
      </c>
    </row>
    <row r="27" spans="1:11" x14ac:dyDescent="0.3">
      <c r="A27" s="16" t="s">
        <v>223</v>
      </c>
      <c r="B27" s="30">
        <v>47</v>
      </c>
      <c r="C27" s="30">
        <v>47</v>
      </c>
      <c r="D27" s="30">
        <v>17</v>
      </c>
      <c r="E27" s="30">
        <v>17</v>
      </c>
      <c r="F27" s="22">
        <v>17</v>
      </c>
      <c r="G27" s="18">
        <v>45.999999999999993</v>
      </c>
    </row>
    <row r="28" spans="1:11" x14ac:dyDescent="0.3">
      <c r="A28" s="16" t="s">
        <v>63</v>
      </c>
      <c r="B28" s="30">
        <v>8</v>
      </c>
      <c r="C28" s="30">
        <v>4</v>
      </c>
      <c r="D28" s="30">
        <v>4</v>
      </c>
      <c r="E28" s="30">
        <v>3</v>
      </c>
      <c r="F28" s="22">
        <v>4</v>
      </c>
      <c r="G28" s="18">
        <v>14.000000000000002</v>
      </c>
    </row>
    <row r="29" spans="1:11" x14ac:dyDescent="0.3">
      <c r="A29" s="16" t="s">
        <v>58</v>
      </c>
      <c r="B29" s="30">
        <v>7</v>
      </c>
      <c r="C29" s="30">
        <v>5</v>
      </c>
      <c r="D29" s="30">
        <v>2</v>
      </c>
      <c r="E29" s="30">
        <v>2</v>
      </c>
      <c r="F29" s="22">
        <v>2</v>
      </c>
      <c r="G29" s="18">
        <v>2</v>
      </c>
    </row>
    <row r="30" spans="1:11" x14ac:dyDescent="0.3">
      <c r="A30" s="16" t="s">
        <v>127</v>
      </c>
      <c r="B30" s="30">
        <v>8</v>
      </c>
      <c r="C30" s="30">
        <v>2</v>
      </c>
      <c r="D30" s="30">
        <v>6</v>
      </c>
      <c r="E30" s="30">
        <v>2</v>
      </c>
      <c r="F30" s="22">
        <v>6</v>
      </c>
      <c r="G30" s="18">
        <v>12.250000000000002</v>
      </c>
      <c r="J30" s="15" t="s">
        <v>506</v>
      </c>
      <c r="K30" t="s">
        <v>508</v>
      </c>
    </row>
    <row r="31" spans="1:11" x14ac:dyDescent="0.3">
      <c r="A31" s="16" t="s">
        <v>233</v>
      </c>
      <c r="B31" s="30">
        <v>2</v>
      </c>
      <c r="C31" s="30">
        <v>0</v>
      </c>
      <c r="D31" s="30">
        <v>0</v>
      </c>
      <c r="E31" s="30">
        <v>0</v>
      </c>
      <c r="F31" s="22">
        <v>0</v>
      </c>
      <c r="G31" s="18">
        <v>0.8</v>
      </c>
      <c r="J31" s="16" t="s">
        <v>515</v>
      </c>
      <c r="K31" s="30">
        <v>368</v>
      </c>
    </row>
    <row r="32" spans="1:11" x14ac:dyDescent="0.3">
      <c r="A32" s="16" t="s">
        <v>80</v>
      </c>
      <c r="B32" s="30">
        <v>8</v>
      </c>
      <c r="C32" s="30">
        <v>4</v>
      </c>
      <c r="D32" s="30">
        <v>5</v>
      </c>
      <c r="E32" s="30">
        <v>1</v>
      </c>
      <c r="F32" s="22">
        <v>5</v>
      </c>
      <c r="G32" s="18">
        <v>5.3999999999999995</v>
      </c>
      <c r="J32" s="16" t="s">
        <v>507</v>
      </c>
      <c r="K32" s="30">
        <v>368</v>
      </c>
    </row>
    <row r="33" spans="1:11" x14ac:dyDescent="0.3">
      <c r="A33" s="16" t="s">
        <v>261</v>
      </c>
      <c r="B33" s="30">
        <v>1</v>
      </c>
      <c r="C33" s="30">
        <v>1</v>
      </c>
      <c r="D33" s="30">
        <v>1</v>
      </c>
      <c r="E33" s="30">
        <v>1</v>
      </c>
      <c r="F33" s="22">
        <v>1</v>
      </c>
      <c r="G33" s="18">
        <v>0.4</v>
      </c>
    </row>
    <row r="34" spans="1:11" x14ac:dyDescent="0.3">
      <c r="A34" s="16" t="s">
        <v>187</v>
      </c>
      <c r="B34" s="30">
        <v>8</v>
      </c>
      <c r="C34" s="30">
        <v>3</v>
      </c>
      <c r="D34" s="30">
        <v>4</v>
      </c>
      <c r="E34" s="30">
        <v>0</v>
      </c>
      <c r="F34" s="22">
        <v>4</v>
      </c>
      <c r="G34" s="18">
        <v>6.1999999999999993</v>
      </c>
    </row>
    <row r="35" spans="1:11" x14ac:dyDescent="0.3">
      <c r="A35" s="16" t="s">
        <v>23</v>
      </c>
      <c r="B35" s="30">
        <v>8</v>
      </c>
      <c r="C35" s="30">
        <v>4</v>
      </c>
      <c r="D35" s="30">
        <v>3</v>
      </c>
      <c r="E35" s="30">
        <v>1</v>
      </c>
      <c r="F35" s="22">
        <v>3</v>
      </c>
      <c r="G35" s="18">
        <v>6.35</v>
      </c>
    </row>
    <row r="36" spans="1:11" x14ac:dyDescent="0.3">
      <c r="A36" s="16" t="s">
        <v>34</v>
      </c>
      <c r="B36" s="30">
        <v>7</v>
      </c>
      <c r="C36" s="30">
        <v>2</v>
      </c>
      <c r="D36" s="30">
        <v>3</v>
      </c>
      <c r="E36" s="30">
        <v>1</v>
      </c>
      <c r="F36" s="22">
        <v>3</v>
      </c>
      <c r="G36" s="18">
        <v>3.6000000000000005</v>
      </c>
    </row>
    <row r="37" spans="1:11" x14ac:dyDescent="0.3">
      <c r="A37" s="16" t="s">
        <v>251</v>
      </c>
      <c r="B37" s="30">
        <v>1</v>
      </c>
      <c r="C37" s="30">
        <v>0</v>
      </c>
      <c r="D37" s="30">
        <v>1</v>
      </c>
      <c r="E37" s="30">
        <v>0</v>
      </c>
      <c r="F37" s="22">
        <v>1</v>
      </c>
      <c r="G37" s="18">
        <v>0.8</v>
      </c>
    </row>
    <row r="38" spans="1:11" x14ac:dyDescent="0.3">
      <c r="A38" s="16" t="s">
        <v>68</v>
      </c>
      <c r="B38" s="30">
        <v>8</v>
      </c>
      <c r="C38" s="30">
        <v>5</v>
      </c>
      <c r="D38" s="30">
        <v>3</v>
      </c>
      <c r="E38" s="30">
        <v>2</v>
      </c>
      <c r="F38" s="22">
        <v>3</v>
      </c>
      <c r="G38" s="18">
        <v>8.0000000000000018</v>
      </c>
    </row>
    <row r="39" spans="1:11" x14ac:dyDescent="0.3">
      <c r="A39" s="16" t="s">
        <v>70</v>
      </c>
      <c r="B39" s="30">
        <v>8</v>
      </c>
      <c r="C39" s="30">
        <v>6</v>
      </c>
      <c r="D39" s="30">
        <v>2</v>
      </c>
      <c r="E39" s="30">
        <v>2</v>
      </c>
      <c r="F39" s="22">
        <v>2</v>
      </c>
      <c r="G39" s="18">
        <v>5.2000000000000011</v>
      </c>
    </row>
    <row r="40" spans="1:11" x14ac:dyDescent="0.3">
      <c r="A40" s="16" t="s">
        <v>51</v>
      </c>
      <c r="B40" s="30">
        <v>8</v>
      </c>
      <c r="C40" s="30">
        <v>3</v>
      </c>
      <c r="D40" s="30">
        <v>4</v>
      </c>
      <c r="E40" s="30">
        <v>2</v>
      </c>
      <c r="F40" s="22">
        <v>4</v>
      </c>
      <c r="G40" s="18">
        <v>6.3999999999999995</v>
      </c>
      <c r="J40" s="15" t="s">
        <v>506</v>
      </c>
      <c r="K40" t="s">
        <v>514</v>
      </c>
    </row>
    <row r="41" spans="1:11" x14ac:dyDescent="0.3">
      <c r="A41" s="16" t="s">
        <v>123</v>
      </c>
      <c r="B41" s="30">
        <v>8</v>
      </c>
      <c r="C41" s="30">
        <v>3</v>
      </c>
      <c r="D41" s="30">
        <v>3</v>
      </c>
      <c r="E41" s="30">
        <v>2</v>
      </c>
      <c r="F41" s="22">
        <v>3</v>
      </c>
      <c r="G41" s="18">
        <v>8.7500000000000018</v>
      </c>
      <c r="J41" s="16" t="s">
        <v>64</v>
      </c>
      <c r="K41" s="17">
        <v>0.375</v>
      </c>
    </row>
    <row r="42" spans="1:11" x14ac:dyDescent="0.3">
      <c r="A42" s="16" t="s">
        <v>66</v>
      </c>
      <c r="B42" s="30">
        <v>7</v>
      </c>
      <c r="C42" s="30">
        <v>3</v>
      </c>
      <c r="D42" s="30">
        <v>4</v>
      </c>
      <c r="E42" s="30">
        <v>2</v>
      </c>
      <c r="F42" s="22">
        <v>4</v>
      </c>
      <c r="G42" s="18">
        <v>5.9999999999999991</v>
      </c>
      <c r="J42" s="16" t="s">
        <v>227</v>
      </c>
      <c r="K42" s="17">
        <v>0</v>
      </c>
    </row>
    <row r="43" spans="1:11" x14ac:dyDescent="0.3">
      <c r="A43" s="16" t="s">
        <v>22</v>
      </c>
      <c r="B43" s="30">
        <v>7</v>
      </c>
      <c r="C43" s="30">
        <v>4</v>
      </c>
      <c r="D43" s="30">
        <v>4</v>
      </c>
      <c r="E43" s="30">
        <v>3</v>
      </c>
      <c r="F43" s="22">
        <v>4</v>
      </c>
      <c r="G43" s="18">
        <v>10</v>
      </c>
      <c r="J43" s="16" t="s">
        <v>197</v>
      </c>
      <c r="K43" s="17">
        <v>0.42857142857142855</v>
      </c>
    </row>
    <row r="44" spans="1:11" x14ac:dyDescent="0.3">
      <c r="A44" s="16" t="s">
        <v>222</v>
      </c>
      <c r="B44" s="30">
        <v>4</v>
      </c>
      <c r="C44" s="30">
        <v>4</v>
      </c>
      <c r="D44" s="30">
        <v>2</v>
      </c>
      <c r="E44" s="30">
        <v>2</v>
      </c>
      <c r="F44" s="22">
        <v>2</v>
      </c>
      <c r="G44" s="18">
        <v>0.8</v>
      </c>
      <c r="J44" s="16" t="s">
        <v>106</v>
      </c>
      <c r="K44" s="17">
        <v>0.7142857142857143</v>
      </c>
    </row>
    <row r="45" spans="1:11" x14ac:dyDescent="0.3">
      <c r="A45" s="16" t="s">
        <v>40</v>
      </c>
      <c r="B45" s="30">
        <v>7</v>
      </c>
      <c r="C45" s="30">
        <v>4</v>
      </c>
      <c r="D45" s="30">
        <v>3</v>
      </c>
      <c r="E45" s="30">
        <v>1</v>
      </c>
      <c r="F45" s="22">
        <v>3</v>
      </c>
      <c r="G45" s="18">
        <v>11.700000000000001</v>
      </c>
      <c r="J45" s="16" t="s">
        <v>28</v>
      </c>
      <c r="K45" s="17">
        <v>0.625</v>
      </c>
    </row>
    <row r="46" spans="1:11" x14ac:dyDescent="0.3">
      <c r="A46" s="16" t="s">
        <v>53</v>
      </c>
      <c r="B46" s="30">
        <v>8</v>
      </c>
      <c r="C46" s="30">
        <v>3</v>
      </c>
      <c r="D46" s="30">
        <v>2</v>
      </c>
      <c r="E46" s="30">
        <v>2</v>
      </c>
      <c r="F46" s="22">
        <v>2</v>
      </c>
      <c r="G46" s="18">
        <v>5.6000000000000014</v>
      </c>
      <c r="J46" s="16" t="s">
        <v>30</v>
      </c>
      <c r="K46" s="17">
        <v>0.5</v>
      </c>
    </row>
    <row r="47" spans="1:11" x14ac:dyDescent="0.3">
      <c r="A47" s="16" t="s">
        <v>257</v>
      </c>
      <c r="B47" s="30">
        <v>1</v>
      </c>
      <c r="C47" s="30">
        <v>1</v>
      </c>
      <c r="D47" s="30">
        <v>0</v>
      </c>
      <c r="E47" s="30">
        <v>0</v>
      </c>
      <c r="F47" s="22">
        <v>0</v>
      </c>
      <c r="G47" s="18"/>
      <c r="J47" s="16" t="s">
        <v>121</v>
      </c>
      <c r="K47" s="17">
        <v>0.625</v>
      </c>
    </row>
    <row r="48" spans="1:11" x14ac:dyDescent="0.3">
      <c r="A48" s="16" t="s">
        <v>38</v>
      </c>
      <c r="B48" s="30">
        <v>7</v>
      </c>
      <c r="C48" s="30">
        <v>2</v>
      </c>
      <c r="D48" s="30">
        <v>4</v>
      </c>
      <c r="E48" s="30">
        <v>1</v>
      </c>
      <c r="F48" s="22">
        <v>4</v>
      </c>
      <c r="G48" s="18">
        <v>10.399999999999999</v>
      </c>
      <c r="J48" s="16" t="s">
        <v>86</v>
      </c>
      <c r="K48" s="17">
        <v>0.5714285714285714</v>
      </c>
    </row>
    <row r="49" spans="1:11" x14ac:dyDescent="0.3">
      <c r="A49" s="16" t="s">
        <v>48</v>
      </c>
      <c r="B49" s="30">
        <v>8</v>
      </c>
      <c r="C49" s="30">
        <v>5</v>
      </c>
      <c r="D49" s="30">
        <v>2</v>
      </c>
      <c r="E49" s="30">
        <v>2</v>
      </c>
      <c r="F49" s="22">
        <v>2</v>
      </c>
      <c r="G49" s="18">
        <v>2</v>
      </c>
      <c r="J49" s="16" t="s">
        <v>37</v>
      </c>
      <c r="K49" s="17">
        <v>0.7142857142857143</v>
      </c>
    </row>
    <row r="50" spans="1:11" x14ac:dyDescent="0.3">
      <c r="A50" s="16" t="s">
        <v>137</v>
      </c>
      <c r="B50" s="30">
        <v>8</v>
      </c>
      <c r="C50" s="30">
        <v>3</v>
      </c>
      <c r="D50" s="30">
        <v>6</v>
      </c>
      <c r="E50" s="30">
        <v>3</v>
      </c>
      <c r="F50" s="22">
        <v>6</v>
      </c>
      <c r="G50" s="18">
        <v>10.350000000000001</v>
      </c>
      <c r="J50" s="16" t="s">
        <v>265</v>
      </c>
      <c r="K50" s="17">
        <v>1</v>
      </c>
    </row>
    <row r="51" spans="1:11" x14ac:dyDescent="0.3">
      <c r="A51" s="16" t="s">
        <v>283</v>
      </c>
      <c r="B51" s="30">
        <v>1</v>
      </c>
      <c r="C51" s="30">
        <v>1</v>
      </c>
      <c r="D51" s="30">
        <v>0</v>
      </c>
      <c r="E51" s="30">
        <v>0</v>
      </c>
      <c r="F51" s="22">
        <v>0</v>
      </c>
      <c r="G51" s="18"/>
      <c r="J51" s="16" t="s">
        <v>145</v>
      </c>
      <c r="K51" s="17">
        <v>0.42857142857142855</v>
      </c>
    </row>
    <row r="52" spans="1:11" x14ac:dyDescent="0.3">
      <c r="A52" s="16" t="s">
        <v>60</v>
      </c>
      <c r="B52" s="30">
        <v>7</v>
      </c>
      <c r="C52" s="30">
        <v>4</v>
      </c>
      <c r="D52" s="30">
        <v>3</v>
      </c>
      <c r="E52" s="30">
        <v>2</v>
      </c>
      <c r="F52" s="22">
        <v>3</v>
      </c>
      <c r="G52" s="18">
        <v>4.75</v>
      </c>
      <c r="J52" s="16" t="s">
        <v>89</v>
      </c>
      <c r="K52" s="17">
        <v>0.42857142857142855</v>
      </c>
    </row>
    <row r="53" spans="1:11" x14ac:dyDescent="0.3">
      <c r="A53" s="16" t="s">
        <v>74</v>
      </c>
      <c r="B53" s="30">
        <v>8</v>
      </c>
      <c r="C53" s="30">
        <v>5</v>
      </c>
      <c r="D53" s="30">
        <v>3</v>
      </c>
      <c r="E53" s="30">
        <v>2</v>
      </c>
      <c r="F53" s="22">
        <v>3</v>
      </c>
      <c r="G53" s="18">
        <v>11.5</v>
      </c>
      <c r="J53" s="16" t="s">
        <v>104</v>
      </c>
      <c r="K53" s="17">
        <v>0.5714285714285714</v>
      </c>
    </row>
    <row r="54" spans="1:11" x14ac:dyDescent="0.3">
      <c r="A54" s="16" t="s">
        <v>170</v>
      </c>
      <c r="B54" s="30">
        <v>7</v>
      </c>
      <c r="C54" s="30">
        <v>2</v>
      </c>
      <c r="D54" s="30">
        <v>4</v>
      </c>
      <c r="E54" s="30">
        <v>1</v>
      </c>
      <c r="F54" s="22">
        <v>4</v>
      </c>
      <c r="G54" s="18">
        <v>6.7</v>
      </c>
      <c r="J54" s="16" t="s">
        <v>195</v>
      </c>
      <c r="K54" s="17">
        <v>0.42857142857142855</v>
      </c>
    </row>
    <row r="55" spans="1:11" x14ac:dyDescent="0.3">
      <c r="A55" s="16" t="s">
        <v>507</v>
      </c>
      <c r="B55" s="30">
        <v>368</v>
      </c>
      <c r="C55" s="30">
        <v>200</v>
      </c>
      <c r="D55" s="30">
        <v>175</v>
      </c>
      <c r="E55" s="30">
        <v>101</v>
      </c>
      <c r="F55" s="22">
        <v>175</v>
      </c>
      <c r="G55" s="18">
        <v>411.04999999999995</v>
      </c>
      <c r="J55" s="16" t="s">
        <v>101</v>
      </c>
      <c r="K55" s="17">
        <v>0.7142857142857143</v>
      </c>
    </row>
    <row r="56" spans="1:11" x14ac:dyDescent="0.3">
      <c r="J56" s="16" t="s">
        <v>225</v>
      </c>
      <c r="K56" s="17">
        <v>0.5</v>
      </c>
    </row>
    <row r="57" spans="1:11" x14ac:dyDescent="0.3">
      <c r="J57" s="16" t="s">
        <v>77</v>
      </c>
      <c r="K57" s="17">
        <v>0.5</v>
      </c>
    </row>
    <row r="58" spans="1:11" x14ac:dyDescent="0.3">
      <c r="J58" s="16" t="s">
        <v>47</v>
      </c>
      <c r="K58" s="17">
        <v>0.5714285714285714</v>
      </c>
    </row>
    <row r="59" spans="1:11" x14ac:dyDescent="0.3">
      <c r="J59" s="16" t="s">
        <v>84</v>
      </c>
      <c r="K59" s="17">
        <v>0.42857142857142855</v>
      </c>
    </row>
    <row r="60" spans="1:11" x14ac:dyDescent="0.3">
      <c r="J60" s="16" t="s">
        <v>97</v>
      </c>
      <c r="K60" s="17">
        <v>0.5</v>
      </c>
    </row>
    <row r="61" spans="1:11" x14ac:dyDescent="0.3">
      <c r="J61" s="16" t="s">
        <v>140</v>
      </c>
      <c r="K61" s="17">
        <v>0.7142857142857143</v>
      </c>
    </row>
    <row r="62" spans="1:11" x14ac:dyDescent="0.3">
      <c r="J62" s="16" t="s">
        <v>231</v>
      </c>
      <c r="K62" s="17">
        <v>0</v>
      </c>
    </row>
    <row r="63" spans="1:11" x14ac:dyDescent="0.3">
      <c r="J63" s="16" t="s">
        <v>44</v>
      </c>
      <c r="K63" s="17">
        <v>0.375</v>
      </c>
    </row>
    <row r="64" spans="1:11" x14ac:dyDescent="0.3">
      <c r="J64" s="16" t="s">
        <v>223</v>
      </c>
      <c r="K64" s="17">
        <v>0.36170212765957449</v>
      </c>
    </row>
    <row r="65" spans="10:11" x14ac:dyDescent="0.3">
      <c r="J65" s="16" t="s">
        <v>63</v>
      </c>
      <c r="K65" s="17">
        <v>0.5</v>
      </c>
    </row>
    <row r="66" spans="10:11" x14ac:dyDescent="0.3">
      <c r="J66" s="16" t="s">
        <v>58</v>
      </c>
      <c r="K66" s="17">
        <v>0.2857142857142857</v>
      </c>
    </row>
    <row r="67" spans="10:11" x14ac:dyDescent="0.3">
      <c r="J67" s="16" t="s">
        <v>127</v>
      </c>
      <c r="K67" s="17">
        <v>0.75</v>
      </c>
    </row>
    <row r="68" spans="10:11" x14ac:dyDescent="0.3">
      <c r="J68" s="16" t="s">
        <v>233</v>
      </c>
      <c r="K68" s="17">
        <v>0</v>
      </c>
    </row>
    <row r="69" spans="10:11" x14ac:dyDescent="0.3">
      <c r="J69" s="16" t="s">
        <v>80</v>
      </c>
      <c r="K69" s="17">
        <v>0.625</v>
      </c>
    </row>
    <row r="70" spans="10:11" x14ac:dyDescent="0.3">
      <c r="J70" s="16" t="s">
        <v>261</v>
      </c>
      <c r="K70" s="17">
        <v>1</v>
      </c>
    </row>
    <row r="71" spans="10:11" x14ac:dyDescent="0.3">
      <c r="J71" s="16" t="s">
        <v>187</v>
      </c>
      <c r="K71" s="17">
        <v>0.5</v>
      </c>
    </row>
    <row r="72" spans="10:11" x14ac:dyDescent="0.3">
      <c r="J72" s="16" t="s">
        <v>23</v>
      </c>
      <c r="K72" s="17">
        <v>0.375</v>
      </c>
    </row>
    <row r="73" spans="10:11" x14ac:dyDescent="0.3">
      <c r="J73" s="16" t="s">
        <v>34</v>
      </c>
      <c r="K73" s="17">
        <v>0.42857142857142855</v>
      </c>
    </row>
    <row r="74" spans="10:11" x14ac:dyDescent="0.3">
      <c r="J74" s="16" t="s">
        <v>251</v>
      </c>
      <c r="K74" s="17">
        <v>1</v>
      </c>
    </row>
    <row r="75" spans="10:11" x14ac:dyDescent="0.3">
      <c r="J75" s="16" t="s">
        <v>68</v>
      </c>
      <c r="K75" s="17">
        <v>0.375</v>
      </c>
    </row>
    <row r="76" spans="10:11" x14ac:dyDescent="0.3">
      <c r="J76" s="16" t="s">
        <v>70</v>
      </c>
      <c r="K76" s="17">
        <v>0.25</v>
      </c>
    </row>
    <row r="77" spans="10:11" x14ac:dyDescent="0.3">
      <c r="J77" s="16" t="s">
        <v>51</v>
      </c>
      <c r="K77" s="17">
        <v>0.5</v>
      </c>
    </row>
    <row r="78" spans="10:11" x14ac:dyDescent="0.3">
      <c r="J78" s="16" t="s">
        <v>123</v>
      </c>
      <c r="K78" s="17">
        <v>0.375</v>
      </c>
    </row>
    <row r="79" spans="10:11" x14ac:dyDescent="0.3">
      <c r="J79" s="16" t="s">
        <v>66</v>
      </c>
      <c r="K79" s="17">
        <v>0.5714285714285714</v>
      </c>
    </row>
    <row r="80" spans="10:11" x14ac:dyDescent="0.3">
      <c r="J80" s="16" t="s">
        <v>22</v>
      </c>
      <c r="K80" s="17">
        <v>0.5714285714285714</v>
      </c>
    </row>
    <row r="81" spans="10:11" x14ac:dyDescent="0.3">
      <c r="J81" s="16" t="s">
        <v>222</v>
      </c>
      <c r="K81" s="17">
        <v>0.5</v>
      </c>
    </row>
    <row r="82" spans="10:11" x14ac:dyDescent="0.3">
      <c r="J82" s="16" t="s">
        <v>40</v>
      </c>
      <c r="K82" s="17">
        <v>0.42857142857142855</v>
      </c>
    </row>
    <row r="83" spans="10:11" x14ac:dyDescent="0.3">
      <c r="J83" s="16" t="s">
        <v>53</v>
      </c>
      <c r="K83" s="17">
        <v>0.25</v>
      </c>
    </row>
    <row r="84" spans="10:11" x14ac:dyDescent="0.3">
      <c r="J84" s="16" t="s">
        <v>257</v>
      </c>
      <c r="K84" s="17">
        <v>0</v>
      </c>
    </row>
    <row r="85" spans="10:11" x14ac:dyDescent="0.3">
      <c r="J85" s="16" t="s">
        <v>38</v>
      </c>
      <c r="K85" s="17">
        <v>0.5714285714285714</v>
      </c>
    </row>
    <row r="86" spans="10:11" x14ac:dyDescent="0.3">
      <c r="J86" s="16" t="s">
        <v>48</v>
      </c>
      <c r="K86" s="17">
        <v>0.25</v>
      </c>
    </row>
    <row r="87" spans="10:11" x14ac:dyDescent="0.3">
      <c r="J87" s="16" t="s">
        <v>137</v>
      </c>
      <c r="K87" s="17">
        <v>0.75</v>
      </c>
    </row>
    <row r="88" spans="10:11" x14ac:dyDescent="0.3">
      <c r="J88" s="16" t="s">
        <v>283</v>
      </c>
      <c r="K88" s="17">
        <v>0</v>
      </c>
    </row>
    <row r="89" spans="10:11" x14ac:dyDescent="0.3">
      <c r="J89" s="16" t="s">
        <v>60</v>
      </c>
      <c r="K89" s="17">
        <v>0.42857142857142855</v>
      </c>
    </row>
    <row r="90" spans="10:11" x14ac:dyDescent="0.3">
      <c r="J90" s="16" t="s">
        <v>74</v>
      </c>
      <c r="K90" s="17">
        <v>0.375</v>
      </c>
    </row>
    <row r="91" spans="10:11" x14ac:dyDescent="0.3">
      <c r="J91" s="16" t="s">
        <v>170</v>
      </c>
      <c r="K91" s="17">
        <v>0.5714285714285714</v>
      </c>
    </row>
    <row r="92" spans="10:11" x14ac:dyDescent="0.3">
      <c r="J92" s="16" t="s">
        <v>507</v>
      </c>
      <c r="K92" s="17">
        <v>0.47554347826086957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7089-B396-4BDA-9404-C71C18E80D61}">
  <dimension ref="A1:W369"/>
  <sheetViews>
    <sheetView zoomScale="91" workbookViewId="0">
      <selection activeCell="I12" sqref="A2:W369"/>
    </sheetView>
  </sheetViews>
  <sheetFormatPr defaultRowHeight="14.4" x14ac:dyDescent="0.3"/>
  <cols>
    <col min="1" max="1" width="9.44140625" bestFit="1" customWidth="1"/>
    <col min="2" max="2" width="11.44140625" bestFit="1" customWidth="1"/>
    <col min="3" max="3" width="18.6640625" bestFit="1" customWidth="1"/>
    <col min="4" max="4" width="22.44140625" bestFit="1" customWidth="1"/>
    <col min="5" max="5" width="20.33203125" bestFit="1" customWidth="1"/>
    <col min="6" max="6" width="24.44140625" bestFit="1" customWidth="1"/>
    <col min="7" max="7" width="15" bestFit="1" customWidth="1"/>
    <col min="8" max="8" width="14.88671875" bestFit="1" customWidth="1"/>
    <col min="9" max="9" width="17.88671875" bestFit="1" customWidth="1"/>
    <col min="10" max="10" width="12.33203125" bestFit="1" customWidth="1"/>
    <col min="11" max="11" width="19.77734375" bestFit="1" customWidth="1"/>
    <col min="12" max="12" width="16.109375" bestFit="1" customWidth="1"/>
    <col min="13" max="13" width="16.109375" customWidth="1"/>
    <col min="14" max="14" width="22" bestFit="1" customWidth="1"/>
    <col min="15" max="15" width="11.109375" bestFit="1" customWidth="1"/>
    <col min="16" max="17" width="16.44140625" bestFit="1" customWidth="1"/>
    <col min="18" max="18" width="23.5546875" bestFit="1" customWidth="1"/>
    <col min="19" max="19" width="26" bestFit="1" customWidth="1"/>
    <col min="20" max="20" width="15.6640625" bestFit="1" customWidth="1"/>
    <col min="21" max="21" width="22.6640625" bestFit="1" customWidth="1"/>
    <col min="22" max="22" width="20" bestFit="1" customWidth="1"/>
  </cols>
  <sheetData>
    <row r="1" spans="1:23" x14ac:dyDescent="0.3">
      <c r="A1" s="1" t="s">
        <v>0</v>
      </c>
      <c r="B1" s="2" t="s">
        <v>1</v>
      </c>
      <c r="C1" s="2" t="s">
        <v>2</v>
      </c>
      <c r="D1" s="2" t="s">
        <v>3</v>
      </c>
      <c r="E1" s="2" t="s">
        <v>4</v>
      </c>
      <c r="F1" s="2" t="s">
        <v>5</v>
      </c>
      <c r="G1" s="2" t="s">
        <v>6</v>
      </c>
      <c r="H1" s="2" t="s">
        <v>7</v>
      </c>
      <c r="I1" s="2" t="s">
        <v>8</v>
      </c>
      <c r="J1" s="2" t="s">
        <v>9</v>
      </c>
      <c r="K1" s="2" t="s">
        <v>10</v>
      </c>
      <c r="L1" s="13" t="s">
        <v>500</v>
      </c>
      <c r="M1" s="13" t="s">
        <v>501</v>
      </c>
      <c r="N1" s="2" t="s">
        <v>11</v>
      </c>
      <c r="O1" s="2" t="s">
        <v>12</v>
      </c>
      <c r="P1" s="2" t="s">
        <v>13</v>
      </c>
      <c r="Q1" s="2" t="s">
        <v>14</v>
      </c>
      <c r="R1" s="2" t="s">
        <v>15</v>
      </c>
      <c r="S1" s="2" t="s">
        <v>16</v>
      </c>
      <c r="T1" s="2" t="s">
        <v>17</v>
      </c>
      <c r="U1" s="2" t="s">
        <v>18</v>
      </c>
      <c r="V1" s="2" t="s">
        <v>19</v>
      </c>
      <c r="W1" s="2" t="s">
        <v>520</v>
      </c>
    </row>
    <row r="2" spans="1:23" x14ac:dyDescent="0.3">
      <c r="A2" s="3" t="s">
        <v>20</v>
      </c>
      <c r="B2" s="4" t="s">
        <v>21</v>
      </c>
      <c r="C2" s="5">
        <v>8099389567</v>
      </c>
      <c r="D2" s="5">
        <v>224885655</v>
      </c>
      <c r="E2" s="6" t="s">
        <v>22</v>
      </c>
      <c r="F2" s="4" t="s">
        <v>23</v>
      </c>
      <c r="G2" s="4">
        <v>1000000014</v>
      </c>
      <c r="H2" s="4" t="s">
        <v>24</v>
      </c>
      <c r="I2" s="4">
        <f>IF(SalesData[[#This Row],[Status of Call]]="completed",1,0)</f>
        <v>0</v>
      </c>
      <c r="J2" s="4">
        <f>1</f>
        <v>1</v>
      </c>
      <c r="K2" s="4">
        <f>SalesData[[#This Row],[Completed calls]]/SalesData[[#This Row],[Total calls]]</f>
        <v>0</v>
      </c>
      <c r="L2" s="4">
        <f>IF(B2="incoming",1,0)</f>
        <v>1</v>
      </c>
      <c r="M2" s="4">
        <f t="shared" ref="M2:M65" si="0">IF(B2="Outgoing",1,0)</f>
        <v>0</v>
      </c>
      <c r="N2" s="4">
        <f>IF(AND(B2="Incoming",H2="Completed"),1,0)</f>
        <v>0</v>
      </c>
      <c r="O2" s="7">
        <v>46237</v>
      </c>
      <c r="P2" s="8">
        <v>46237.516585648147</v>
      </c>
      <c r="Q2" s="8">
        <v>46237.516655092593</v>
      </c>
      <c r="R2" s="4">
        <v>8</v>
      </c>
      <c r="S2" s="4">
        <f>IF(OR(H2="failed",H2="no-answer",H2="missed-call"),1,0)</f>
        <v>0</v>
      </c>
      <c r="T2" s="4"/>
      <c r="U2" s="4" t="s">
        <v>25</v>
      </c>
      <c r="V2" s="4" t="s">
        <v>26</v>
      </c>
      <c r="W2" s="6"/>
    </row>
    <row r="3" spans="1:23" x14ac:dyDescent="0.3">
      <c r="A3" s="3" t="s">
        <v>27</v>
      </c>
      <c r="B3" s="4" t="s">
        <v>21</v>
      </c>
      <c r="C3" s="5">
        <v>8099389567</v>
      </c>
      <c r="D3" s="5">
        <v>900417386</v>
      </c>
      <c r="E3" s="6" t="s">
        <v>23</v>
      </c>
      <c r="F3" s="4" t="s">
        <v>28</v>
      </c>
      <c r="G3" s="4">
        <v>1000000009</v>
      </c>
      <c r="H3" s="4" t="s">
        <v>24</v>
      </c>
      <c r="I3" s="4">
        <f>IF(SalesData[[#This Row],[Status of Call]]="completed",1,0)</f>
        <v>0</v>
      </c>
      <c r="J3" s="4">
        <f>1</f>
        <v>1</v>
      </c>
      <c r="K3" s="4">
        <f>SalesData[[#This Row],[Completed calls]]/SalesData[[#This Row],[Total calls]]</f>
        <v>0</v>
      </c>
      <c r="L3" s="4">
        <f t="shared" ref="L3:L66" si="1">IF(B3="incoming",1,0)</f>
        <v>1</v>
      </c>
      <c r="M3" s="4">
        <f t="shared" si="0"/>
        <v>0</v>
      </c>
      <c r="N3" s="4">
        <f t="shared" ref="N3:N66" si="2">IF(AND(B3="Incoming",H3="Completed"),1,0)</f>
        <v>0</v>
      </c>
      <c r="O3" s="7">
        <v>46237</v>
      </c>
      <c r="P3" s="8">
        <v>46237.519884259258</v>
      </c>
      <c r="Q3" s="8">
        <v>46237.520115740743</v>
      </c>
      <c r="R3" s="4">
        <v>21</v>
      </c>
      <c r="S3" s="4">
        <f t="shared" ref="S3:S66" si="3">IF(OR(H3="failed",H3="no-answer",H3="missed-call"),1,0)</f>
        <v>0</v>
      </c>
      <c r="T3" s="4"/>
      <c r="U3" s="4" t="s">
        <v>26</v>
      </c>
      <c r="V3" s="4" t="s">
        <v>26</v>
      </c>
      <c r="W3" s="6"/>
    </row>
    <row r="4" spans="1:23" x14ac:dyDescent="0.3">
      <c r="A4" s="3" t="s">
        <v>29</v>
      </c>
      <c r="B4" s="4" t="s">
        <v>21</v>
      </c>
      <c r="C4" s="5">
        <v>8099389567</v>
      </c>
      <c r="D4" s="5">
        <v>577506333</v>
      </c>
      <c r="E4" s="6" t="s">
        <v>30</v>
      </c>
      <c r="F4" s="4" t="s">
        <v>31</v>
      </c>
      <c r="G4" s="4">
        <v>1000000016</v>
      </c>
      <c r="H4" s="4" t="s">
        <v>32</v>
      </c>
      <c r="I4" s="4">
        <f>IF(SalesData[[#This Row],[Status of Call]]="completed",1,0)</f>
        <v>1</v>
      </c>
      <c r="J4" s="4">
        <f>1</f>
        <v>1</v>
      </c>
      <c r="K4" s="4">
        <f>SalesData[[#This Row],[Completed calls]]/SalesData[[#This Row],[Total calls]]</f>
        <v>1</v>
      </c>
      <c r="L4" s="4">
        <f t="shared" si="1"/>
        <v>1</v>
      </c>
      <c r="M4" s="4">
        <f t="shared" si="0"/>
        <v>0</v>
      </c>
      <c r="N4" s="4">
        <f t="shared" si="2"/>
        <v>1</v>
      </c>
      <c r="O4" s="7">
        <v>46237</v>
      </c>
      <c r="P4" s="8">
        <v>46237.520138888889</v>
      </c>
      <c r="Q4" s="8">
        <v>46237.525069444448</v>
      </c>
      <c r="R4" s="4">
        <v>426</v>
      </c>
      <c r="S4" s="4">
        <f t="shared" si="3"/>
        <v>0</v>
      </c>
      <c r="T4" s="4">
        <v>2.8</v>
      </c>
      <c r="U4" s="4" t="s">
        <v>26</v>
      </c>
      <c r="V4" s="4" t="s">
        <v>26</v>
      </c>
      <c r="W4" s="6"/>
    </row>
    <row r="5" spans="1:23" x14ac:dyDescent="0.3">
      <c r="A5" s="3" t="s">
        <v>33</v>
      </c>
      <c r="B5" s="4" t="s">
        <v>21</v>
      </c>
      <c r="C5" s="5">
        <v>8099389567</v>
      </c>
      <c r="D5" s="5">
        <v>432798330</v>
      </c>
      <c r="E5" s="6" t="s">
        <v>34</v>
      </c>
      <c r="F5" s="4" t="s">
        <v>35</v>
      </c>
      <c r="G5" s="4">
        <v>1000000017</v>
      </c>
      <c r="H5" s="4" t="s">
        <v>32</v>
      </c>
      <c r="I5" s="4">
        <f>IF(SalesData[[#This Row],[Status of Call]]="completed",1,0)</f>
        <v>1</v>
      </c>
      <c r="J5" s="4">
        <f>1</f>
        <v>1</v>
      </c>
      <c r="K5" s="4">
        <f>SalesData[[#This Row],[Completed calls]]/SalesData[[#This Row],[Total calls]]</f>
        <v>1</v>
      </c>
      <c r="L5" s="4">
        <f t="shared" si="1"/>
        <v>1</v>
      </c>
      <c r="M5" s="4">
        <f t="shared" si="0"/>
        <v>0</v>
      </c>
      <c r="N5" s="4">
        <f t="shared" si="2"/>
        <v>1</v>
      </c>
      <c r="O5" s="7">
        <v>46237</v>
      </c>
      <c r="P5" s="8">
        <v>46237.521909722222</v>
      </c>
      <c r="Q5" s="8">
        <v>46237.523032407407</v>
      </c>
      <c r="R5" s="4">
        <v>97</v>
      </c>
      <c r="S5" s="4">
        <f t="shared" si="3"/>
        <v>0</v>
      </c>
      <c r="T5" s="4">
        <v>0.4</v>
      </c>
      <c r="U5" s="4" t="s">
        <v>26</v>
      </c>
      <c r="V5" s="4" t="s">
        <v>26</v>
      </c>
      <c r="W5" s="6"/>
    </row>
    <row r="6" spans="1:23" x14ac:dyDescent="0.3">
      <c r="A6" s="3" t="s">
        <v>36</v>
      </c>
      <c r="B6" s="4" t="s">
        <v>21</v>
      </c>
      <c r="C6" s="5">
        <v>8099389567</v>
      </c>
      <c r="D6" s="5">
        <v>925746665</v>
      </c>
      <c r="E6" s="6" t="s">
        <v>37</v>
      </c>
      <c r="F6" s="4" t="s">
        <v>38</v>
      </c>
      <c r="G6" s="4">
        <v>1000000028</v>
      </c>
      <c r="H6" s="4" t="s">
        <v>32</v>
      </c>
      <c r="I6" s="4">
        <f>IF(SalesData[[#This Row],[Status of Call]]="completed",1,0)</f>
        <v>1</v>
      </c>
      <c r="J6" s="4">
        <f>1</f>
        <v>1</v>
      </c>
      <c r="K6" s="4">
        <f>SalesData[[#This Row],[Completed calls]]/SalesData[[#This Row],[Total calls]]</f>
        <v>1</v>
      </c>
      <c r="L6" s="4">
        <f t="shared" si="1"/>
        <v>1</v>
      </c>
      <c r="M6" s="4">
        <f t="shared" si="0"/>
        <v>0</v>
      </c>
      <c r="N6" s="4">
        <f t="shared" si="2"/>
        <v>1</v>
      </c>
      <c r="O6" s="7">
        <v>46237</v>
      </c>
      <c r="P6" s="8">
        <v>46237.538124999999</v>
      </c>
      <c r="Q6" s="8">
        <v>46237.546990740739</v>
      </c>
      <c r="R6" s="4">
        <v>768</v>
      </c>
      <c r="S6" s="4">
        <f t="shared" si="3"/>
        <v>0</v>
      </c>
      <c r="T6" s="4">
        <v>5.2</v>
      </c>
      <c r="U6" s="4" t="s">
        <v>26</v>
      </c>
      <c r="V6" s="4" t="s">
        <v>26</v>
      </c>
      <c r="W6" s="6"/>
    </row>
    <row r="7" spans="1:23" x14ac:dyDescent="0.3">
      <c r="A7" s="3" t="s">
        <v>39</v>
      </c>
      <c r="B7" s="4" t="s">
        <v>21</v>
      </c>
      <c r="C7" s="5">
        <v>8099389567</v>
      </c>
      <c r="D7" s="5">
        <v>18831166</v>
      </c>
      <c r="E7" s="6" t="s">
        <v>40</v>
      </c>
      <c r="F7" s="4" t="s">
        <v>41</v>
      </c>
      <c r="G7" s="4">
        <v>1000000006</v>
      </c>
      <c r="H7" s="4" t="s">
        <v>24</v>
      </c>
      <c r="I7" s="4">
        <f>IF(SalesData[[#This Row],[Status of Call]]="completed",1,0)</f>
        <v>0</v>
      </c>
      <c r="J7" s="4">
        <f>1</f>
        <v>1</v>
      </c>
      <c r="K7" s="4">
        <f>SalesData[[#This Row],[Completed calls]]/SalesData[[#This Row],[Total calls]]</f>
        <v>0</v>
      </c>
      <c r="L7" s="4">
        <f t="shared" si="1"/>
        <v>1</v>
      </c>
      <c r="M7" s="4">
        <f t="shared" si="0"/>
        <v>0</v>
      </c>
      <c r="N7" s="4">
        <f t="shared" si="2"/>
        <v>0</v>
      </c>
      <c r="O7" s="7">
        <v>46237</v>
      </c>
      <c r="P7" s="8">
        <v>46237.557002314818</v>
      </c>
      <c r="Q7" s="8">
        <v>46237.557083333333</v>
      </c>
      <c r="R7" s="4">
        <v>7</v>
      </c>
      <c r="S7" s="4">
        <f t="shared" si="3"/>
        <v>0</v>
      </c>
      <c r="T7" s="4"/>
      <c r="U7" s="4" t="s">
        <v>42</v>
      </c>
      <c r="V7" s="4" t="s">
        <v>26</v>
      </c>
      <c r="W7" s="6"/>
    </row>
    <row r="8" spans="1:23" x14ac:dyDescent="0.3">
      <c r="A8" s="3" t="s">
        <v>43</v>
      </c>
      <c r="B8" s="4" t="s">
        <v>21</v>
      </c>
      <c r="C8" s="5">
        <v>8099389567</v>
      </c>
      <c r="D8" s="5">
        <v>858283693</v>
      </c>
      <c r="E8" s="6" t="s">
        <v>44</v>
      </c>
      <c r="F8" s="4" t="s">
        <v>45</v>
      </c>
      <c r="G8" s="4">
        <v>1000000004</v>
      </c>
      <c r="H8" s="4" t="s">
        <v>32</v>
      </c>
      <c r="I8" s="4">
        <f>IF(SalesData[[#This Row],[Status of Call]]="completed",1,0)</f>
        <v>1</v>
      </c>
      <c r="J8" s="4">
        <f>1</f>
        <v>1</v>
      </c>
      <c r="K8" s="4">
        <f>SalesData[[#This Row],[Completed calls]]/SalesData[[#This Row],[Total calls]]</f>
        <v>1</v>
      </c>
      <c r="L8" s="4">
        <f t="shared" si="1"/>
        <v>1</v>
      </c>
      <c r="M8" s="4">
        <f t="shared" si="0"/>
        <v>0</v>
      </c>
      <c r="N8" s="4">
        <f t="shared" si="2"/>
        <v>1</v>
      </c>
      <c r="O8" s="7">
        <v>46237</v>
      </c>
      <c r="P8" s="8">
        <v>46237.571168981478</v>
      </c>
      <c r="Q8" s="8">
        <v>46237.571550925924</v>
      </c>
      <c r="R8" s="4">
        <v>34</v>
      </c>
      <c r="S8" s="4">
        <f t="shared" si="3"/>
        <v>0</v>
      </c>
      <c r="T8" s="4">
        <v>0.4</v>
      </c>
      <c r="U8" s="4" t="s">
        <v>26</v>
      </c>
      <c r="V8" s="4" t="s">
        <v>26</v>
      </c>
      <c r="W8" s="6"/>
    </row>
    <row r="9" spans="1:23" x14ac:dyDescent="0.3">
      <c r="A9" s="3" t="s">
        <v>46</v>
      </c>
      <c r="B9" s="4" t="s">
        <v>21</v>
      </c>
      <c r="C9" s="5">
        <v>8099389567</v>
      </c>
      <c r="D9" s="5">
        <v>913511869</v>
      </c>
      <c r="E9" s="6" t="s">
        <v>47</v>
      </c>
      <c r="F9" s="4" t="s">
        <v>48</v>
      </c>
      <c r="G9" s="4">
        <v>1000000008</v>
      </c>
      <c r="H9" s="4" t="s">
        <v>49</v>
      </c>
      <c r="I9" s="4">
        <f>IF(SalesData[[#This Row],[Status of Call]]="completed",1,0)</f>
        <v>0</v>
      </c>
      <c r="J9" s="4">
        <f>1</f>
        <v>1</v>
      </c>
      <c r="K9" s="4">
        <f>SalesData[[#This Row],[Completed calls]]/SalesData[[#This Row],[Total calls]]</f>
        <v>0</v>
      </c>
      <c r="L9" s="4">
        <f t="shared" si="1"/>
        <v>1</v>
      </c>
      <c r="M9" s="4">
        <f t="shared" si="0"/>
        <v>0</v>
      </c>
      <c r="N9" s="4">
        <f t="shared" si="2"/>
        <v>0</v>
      </c>
      <c r="O9" s="7">
        <v>46237</v>
      </c>
      <c r="P9" s="8">
        <v>46237.573287037034</v>
      </c>
      <c r="Q9" s="8">
        <v>46237.573807870373</v>
      </c>
      <c r="R9" s="4">
        <v>46</v>
      </c>
      <c r="S9" s="4">
        <f t="shared" si="3"/>
        <v>1</v>
      </c>
      <c r="T9" s="4"/>
      <c r="U9" s="4" t="s">
        <v>26</v>
      </c>
      <c r="V9" s="4" t="s">
        <v>26</v>
      </c>
      <c r="W9" s="6"/>
    </row>
    <row r="10" spans="1:23" x14ac:dyDescent="0.3">
      <c r="A10" s="3" t="s">
        <v>50</v>
      </c>
      <c r="B10" s="4" t="s">
        <v>21</v>
      </c>
      <c r="C10" s="5">
        <v>8099389567</v>
      </c>
      <c r="D10" s="5">
        <v>832577930</v>
      </c>
      <c r="E10" s="6" t="s">
        <v>51</v>
      </c>
      <c r="F10" s="4" t="s">
        <v>44</v>
      </c>
      <c r="G10" s="4">
        <v>1000000010</v>
      </c>
      <c r="H10" s="4" t="s">
        <v>32</v>
      </c>
      <c r="I10" s="4">
        <f>IF(SalesData[[#This Row],[Status of Call]]="completed",1,0)</f>
        <v>1</v>
      </c>
      <c r="J10" s="4">
        <f>1</f>
        <v>1</v>
      </c>
      <c r="K10" s="4">
        <f>SalesData[[#This Row],[Completed calls]]/SalesData[[#This Row],[Total calls]]</f>
        <v>1</v>
      </c>
      <c r="L10" s="4">
        <f t="shared" si="1"/>
        <v>1</v>
      </c>
      <c r="M10" s="4">
        <f t="shared" si="0"/>
        <v>0</v>
      </c>
      <c r="N10" s="4">
        <f t="shared" si="2"/>
        <v>1</v>
      </c>
      <c r="O10" s="7">
        <v>46237</v>
      </c>
      <c r="P10" s="8">
        <v>46237.573483796295</v>
      </c>
      <c r="Q10" s="8">
        <v>46237.577569444446</v>
      </c>
      <c r="R10" s="4">
        <v>355</v>
      </c>
      <c r="S10" s="4">
        <f t="shared" si="3"/>
        <v>0</v>
      </c>
      <c r="T10" s="4">
        <v>2.4</v>
      </c>
      <c r="U10" s="4" t="s">
        <v>26</v>
      </c>
      <c r="V10" s="4" t="s">
        <v>26</v>
      </c>
      <c r="W10" s="6"/>
    </row>
    <row r="11" spans="1:23" x14ac:dyDescent="0.3">
      <c r="A11" s="3" t="s">
        <v>52</v>
      </c>
      <c r="B11" s="4" t="s">
        <v>21</v>
      </c>
      <c r="C11" s="5">
        <v>8099389567</v>
      </c>
      <c r="D11" s="5">
        <v>640895463</v>
      </c>
      <c r="E11" s="6" t="s">
        <v>53</v>
      </c>
      <c r="F11" s="4" t="s">
        <v>54</v>
      </c>
      <c r="G11" s="4">
        <v>1000000011</v>
      </c>
      <c r="H11" s="4" t="s">
        <v>32</v>
      </c>
      <c r="I11" s="4">
        <f>IF(SalesData[[#This Row],[Status of Call]]="completed",1,0)</f>
        <v>1</v>
      </c>
      <c r="J11" s="4">
        <f>1</f>
        <v>1</v>
      </c>
      <c r="K11" s="4">
        <f>SalesData[[#This Row],[Completed calls]]/SalesData[[#This Row],[Total calls]]</f>
        <v>1</v>
      </c>
      <c r="L11" s="4">
        <f t="shared" si="1"/>
        <v>1</v>
      </c>
      <c r="M11" s="4">
        <f t="shared" si="0"/>
        <v>0</v>
      </c>
      <c r="N11" s="4">
        <f t="shared" si="2"/>
        <v>1</v>
      </c>
      <c r="O11" s="7">
        <v>46237</v>
      </c>
      <c r="P11" s="8">
        <v>46237.573854166665</v>
      </c>
      <c r="Q11" s="8">
        <v>46237.574548611112</v>
      </c>
      <c r="R11" s="4">
        <v>61</v>
      </c>
      <c r="S11" s="4">
        <f t="shared" si="3"/>
        <v>0</v>
      </c>
      <c r="T11" s="4">
        <v>0.4</v>
      </c>
      <c r="U11" s="4" t="s">
        <v>26</v>
      </c>
      <c r="V11" s="4" t="s">
        <v>26</v>
      </c>
      <c r="W11" s="6"/>
    </row>
    <row r="12" spans="1:23" x14ac:dyDescent="0.3">
      <c r="A12" s="3" t="s">
        <v>55</v>
      </c>
      <c r="B12" s="4" t="s">
        <v>21</v>
      </c>
      <c r="C12" s="5">
        <v>8099389567</v>
      </c>
      <c r="D12" s="5">
        <v>122210367</v>
      </c>
      <c r="E12" s="6" t="s">
        <v>30</v>
      </c>
      <c r="F12" s="4" t="s">
        <v>56</v>
      </c>
      <c r="G12" s="4">
        <v>1000000034</v>
      </c>
      <c r="H12" s="24" t="s">
        <v>24</v>
      </c>
      <c r="I12" s="4">
        <f>IF(SalesData[[#This Row],[Status of Call]]="completed",1,0)</f>
        <v>0</v>
      </c>
      <c r="J12" s="4">
        <f>1</f>
        <v>1</v>
      </c>
      <c r="K12" s="4">
        <f>SalesData[[#This Row],[Completed calls]]/SalesData[[#This Row],[Total calls]]</f>
        <v>0</v>
      </c>
      <c r="L12" s="4">
        <f t="shared" si="1"/>
        <v>1</v>
      </c>
      <c r="M12" s="4">
        <f t="shared" si="0"/>
        <v>0</v>
      </c>
      <c r="N12" s="4">
        <f t="shared" si="2"/>
        <v>0</v>
      </c>
      <c r="O12" s="7">
        <v>46237</v>
      </c>
      <c r="P12" s="8">
        <v>46237.596412037034</v>
      </c>
      <c r="Q12" s="8">
        <v>46237.596574074072</v>
      </c>
      <c r="R12" s="4">
        <v>15</v>
      </c>
      <c r="S12" s="4">
        <f t="shared" si="3"/>
        <v>0</v>
      </c>
      <c r="T12" s="4"/>
      <c r="U12" s="4" t="s">
        <v>26</v>
      </c>
      <c r="V12" s="4" t="s">
        <v>26</v>
      </c>
      <c r="W12" s="6"/>
    </row>
    <row r="13" spans="1:23" x14ac:dyDescent="0.3">
      <c r="A13" s="3" t="s">
        <v>57</v>
      </c>
      <c r="B13" s="4" t="s">
        <v>21</v>
      </c>
      <c r="C13" s="5">
        <v>8099389567</v>
      </c>
      <c r="D13" s="5">
        <v>910304698</v>
      </c>
      <c r="E13" s="6" t="s">
        <v>58</v>
      </c>
      <c r="F13" s="4" t="s">
        <v>35</v>
      </c>
      <c r="G13" s="4">
        <v>1000000017</v>
      </c>
      <c r="H13" s="4" t="s">
        <v>49</v>
      </c>
      <c r="I13" s="4">
        <f>IF(SalesData[[#This Row],[Status of Call]]="completed",1,0)</f>
        <v>0</v>
      </c>
      <c r="J13" s="4">
        <f>1</f>
        <v>1</v>
      </c>
      <c r="K13" s="4">
        <f>SalesData[[#This Row],[Completed calls]]/SalesData[[#This Row],[Total calls]]</f>
        <v>0</v>
      </c>
      <c r="L13" s="4">
        <f t="shared" si="1"/>
        <v>1</v>
      </c>
      <c r="M13" s="4">
        <f t="shared" si="0"/>
        <v>0</v>
      </c>
      <c r="N13" s="4">
        <f t="shared" si="2"/>
        <v>0</v>
      </c>
      <c r="O13" s="7">
        <v>46237</v>
      </c>
      <c r="P13" s="8">
        <v>46237.596990740742</v>
      </c>
      <c r="Q13" s="8">
        <v>46237.597569444442</v>
      </c>
      <c r="R13" s="4">
        <v>50</v>
      </c>
      <c r="S13" s="4">
        <f t="shared" si="3"/>
        <v>1</v>
      </c>
      <c r="T13" s="4"/>
      <c r="U13" s="4" t="s">
        <v>26</v>
      </c>
      <c r="V13" s="4" t="s">
        <v>26</v>
      </c>
      <c r="W13" s="6"/>
    </row>
    <row r="14" spans="1:23" x14ac:dyDescent="0.3">
      <c r="A14" s="3" t="s">
        <v>59</v>
      </c>
      <c r="B14" s="5" t="s">
        <v>21</v>
      </c>
      <c r="C14" s="5">
        <v>8099389567</v>
      </c>
      <c r="D14" s="5">
        <v>3632601</v>
      </c>
      <c r="E14" s="6" t="s">
        <v>60</v>
      </c>
      <c r="F14" s="5" t="s">
        <v>61</v>
      </c>
      <c r="G14" s="5">
        <v>1000000018</v>
      </c>
      <c r="H14" s="5" t="s">
        <v>24</v>
      </c>
      <c r="I14" s="5">
        <f>IF(SalesData[[#This Row],[Status of Call]]="completed",1,0)</f>
        <v>0</v>
      </c>
      <c r="J14" s="5">
        <f>1</f>
        <v>1</v>
      </c>
      <c r="K14" s="5">
        <f>SalesData[[#This Row],[Completed calls]]/SalesData[[#This Row],[Total calls]]</f>
        <v>0</v>
      </c>
      <c r="L14" s="4">
        <f t="shared" si="1"/>
        <v>1</v>
      </c>
      <c r="M14" s="4">
        <f t="shared" si="0"/>
        <v>0</v>
      </c>
      <c r="N14" s="4">
        <f t="shared" si="2"/>
        <v>0</v>
      </c>
      <c r="O14" s="7">
        <v>46236</v>
      </c>
      <c r="P14" s="8">
        <v>46236.357847222222</v>
      </c>
      <c r="Q14" s="8">
        <v>46236.358043981483</v>
      </c>
      <c r="R14" s="5">
        <v>18</v>
      </c>
      <c r="S14" s="4">
        <f t="shared" si="3"/>
        <v>0</v>
      </c>
      <c r="T14" s="5"/>
      <c r="U14" s="5" t="s">
        <v>26</v>
      </c>
      <c r="V14" s="5" t="s">
        <v>26</v>
      </c>
      <c r="W14" s="6"/>
    </row>
    <row r="15" spans="1:23" x14ac:dyDescent="0.3">
      <c r="A15" s="3" t="s">
        <v>62</v>
      </c>
      <c r="B15" s="4" t="s">
        <v>21</v>
      </c>
      <c r="C15" s="5">
        <v>8099389567</v>
      </c>
      <c r="D15" s="5">
        <v>439248817</v>
      </c>
      <c r="E15" s="6" t="s">
        <v>63</v>
      </c>
      <c r="F15" s="4" t="s">
        <v>64</v>
      </c>
      <c r="G15" s="4">
        <v>1000000001</v>
      </c>
      <c r="H15" s="4" t="s">
        <v>32</v>
      </c>
      <c r="I15" s="4">
        <f>IF(SalesData[[#This Row],[Status of Call]]="completed",1,0)</f>
        <v>1</v>
      </c>
      <c r="J15" s="4">
        <f>1</f>
        <v>1</v>
      </c>
      <c r="K15" s="4">
        <f>SalesData[[#This Row],[Completed calls]]/SalesData[[#This Row],[Total calls]]</f>
        <v>1</v>
      </c>
      <c r="L15" s="4">
        <f t="shared" si="1"/>
        <v>1</v>
      </c>
      <c r="M15" s="4">
        <f t="shared" si="0"/>
        <v>0</v>
      </c>
      <c r="N15" s="4">
        <f t="shared" si="2"/>
        <v>1</v>
      </c>
      <c r="O15" s="7">
        <v>46237</v>
      </c>
      <c r="P15" s="8">
        <v>46237.623472222222</v>
      </c>
      <c r="Q15" s="8">
        <v>46237.63722222222</v>
      </c>
      <c r="R15" s="4">
        <v>1190</v>
      </c>
      <c r="S15" s="4">
        <f t="shared" si="3"/>
        <v>0</v>
      </c>
      <c r="T15" s="4">
        <v>8</v>
      </c>
      <c r="U15" s="4" t="s">
        <v>26</v>
      </c>
      <c r="V15" s="4" t="s">
        <v>26</v>
      </c>
      <c r="W15" s="6"/>
    </row>
    <row r="16" spans="1:23" x14ac:dyDescent="0.3">
      <c r="A16" s="3" t="s">
        <v>65</v>
      </c>
      <c r="B16" s="4" t="s">
        <v>21</v>
      </c>
      <c r="C16" s="5">
        <v>8099389567</v>
      </c>
      <c r="D16" s="5">
        <v>248406541</v>
      </c>
      <c r="E16" s="6" t="s">
        <v>66</v>
      </c>
      <c r="F16" s="4" t="s">
        <v>48</v>
      </c>
      <c r="G16" s="4">
        <v>1000000008</v>
      </c>
      <c r="H16" s="4" t="s">
        <v>32</v>
      </c>
      <c r="I16" s="4">
        <f>IF(SalesData[[#This Row],[Status of Call]]="completed",1,0)</f>
        <v>1</v>
      </c>
      <c r="J16" s="4">
        <f>1</f>
        <v>1</v>
      </c>
      <c r="K16" s="4">
        <f>SalesData[[#This Row],[Completed calls]]/SalesData[[#This Row],[Total calls]]</f>
        <v>1</v>
      </c>
      <c r="L16" s="4">
        <f t="shared" si="1"/>
        <v>1</v>
      </c>
      <c r="M16" s="4">
        <f t="shared" si="0"/>
        <v>0</v>
      </c>
      <c r="N16" s="4">
        <f t="shared" si="2"/>
        <v>1</v>
      </c>
      <c r="O16" s="7">
        <v>46237</v>
      </c>
      <c r="P16" s="8">
        <v>46237.630752314813</v>
      </c>
      <c r="Q16" s="8">
        <v>46237.633611111109</v>
      </c>
      <c r="R16" s="4">
        <v>248</v>
      </c>
      <c r="S16" s="4">
        <f t="shared" si="3"/>
        <v>0</v>
      </c>
      <c r="T16" s="4">
        <v>1.6</v>
      </c>
      <c r="U16" s="4" t="s">
        <v>26</v>
      </c>
      <c r="V16" s="4" t="s">
        <v>26</v>
      </c>
      <c r="W16" s="6"/>
    </row>
    <row r="17" spans="1:23" x14ac:dyDescent="0.3">
      <c r="A17" s="3" t="s">
        <v>67</v>
      </c>
      <c r="B17" s="4" t="s">
        <v>21</v>
      </c>
      <c r="C17" s="5">
        <v>8099389567</v>
      </c>
      <c r="D17" s="5">
        <v>207141783</v>
      </c>
      <c r="E17" s="6" t="s">
        <v>68</v>
      </c>
      <c r="F17" s="4" t="s">
        <v>61</v>
      </c>
      <c r="G17" s="4">
        <v>1000000018</v>
      </c>
      <c r="H17" s="4" t="s">
        <v>24</v>
      </c>
      <c r="I17" s="4">
        <f>IF(SalesData[[#This Row],[Status of Call]]="completed",1,0)</f>
        <v>0</v>
      </c>
      <c r="J17" s="4">
        <f>1</f>
        <v>1</v>
      </c>
      <c r="K17" s="4">
        <f>SalesData[[#This Row],[Completed calls]]/SalesData[[#This Row],[Total calls]]</f>
        <v>0</v>
      </c>
      <c r="L17" s="4">
        <f t="shared" si="1"/>
        <v>1</v>
      </c>
      <c r="M17" s="4">
        <f t="shared" si="0"/>
        <v>0</v>
      </c>
      <c r="N17" s="4">
        <f t="shared" si="2"/>
        <v>0</v>
      </c>
      <c r="O17" s="7">
        <v>46237</v>
      </c>
      <c r="P17" s="8">
        <v>46237.63758101852</v>
      </c>
      <c r="Q17" s="8">
        <v>46237.637685185182</v>
      </c>
      <c r="R17" s="4">
        <v>10</v>
      </c>
      <c r="S17" s="4">
        <f t="shared" si="3"/>
        <v>0</v>
      </c>
      <c r="T17" s="4"/>
      <c r="U17" s="4" t="s">
        <v>26</v>
      </c>
      <c r="V17" s="4" t="s">
        <v>26</v>
      </c>
      <c r="W17" s="6"/>
    </row>
    <row r="18" spans="1:23" x14ac:dyDescent="0.3">
      <c r="A18" s="3" t="s">
        <v>69</v>
      </c>
      <c r="B18" s="4" t="s">
        <v>21</v>
      </c>
      <c r="C18" s="5">
        <v>8099389567</v>
      </c>
      <c r="D18" s="5">
        <v>978555161</v>
      </c>
      <c r="E18" s="6" t="s">
        <v>70</v>
      </c>
      <c r="F18" s="4" t="s">
        <v>71</v>
      </c>
      <c r="G18" s="4">
        <v>1000000022</v>
      </c>
      <c r="H18" s="4" t="s">
        <v>24</v>
      </c>
      <c r="I18" s="4">
        <f>IF(SalesData[[#This Row],[Status of Call]]="completed",1,0)</f>
        <v>0</v>
      </c>
      <c r="J18" s="4">
        <f>1</f>
        <v>1</v>
      </c>
      <c r="K18" s="4">
        <f>SalesData[[#This Row],[Completed calls]]/SalesData[[#This Row],[Total calls]]</f>
        <v>0</v>
      </c>
      <c r="L18" s="4">
        <f t="shared" si="1"/>
        <v>1</v>
      </c>
      <c r="M18" s="4">
        <f t="shared" si="0"/>
        <v>0</v>
      </c>
      <c r="N18" s="4">
        <f t="shared" si="2"/>
        <v>0</v>
      </c>
      <c r="O18" s="7">
        <v>46237</v>
      </c>
      <c r="P18" s="8">
        <v>46237.639976851853</v>
      </c>
      <c r="Q18" s="8">
        <v>46237.640046296299</v>
      </c>
      <c r="R18" s="4">
        <v>7</v>
      </c>
      <c r="S18" s="4">
        <f t="shared" si="3"/>
        <v>0</v>
      </c>
      <c r="T18" s="4"/>
      <c r="U18" s="4" t="s">
        <v>26</v>
      </c>
      <c r="V18" s="4" t="s">
        <v>26</v>
      </c>
      <c r="W18" s="6"/>
    </row>
    <row r="19" spans="1:23" x14ac:dyDescent="0.3">
      <c r="A19" s="3" t="s">
        <v>72</v>
      </c>
      <c r="B19" s="4" t="s">
        <v>21</v>
      </c>
      <c r="C19" s="5">
        <v>8099389567</v>
      </c>
      <c r="D19" s="5">
        <v>455637777</v>
      </c>
      <c r="E19" s="6" t="s">
        <v>70</v>
      </c>
      <c r="F19" s="4" t="s">
        <v>54</v>
      </c>
      <c r="G19" s="4">
        <v>1000000011</v>
      </c>
      <c r="H19" s="4" t="s">
        <v>32</v>
      </c>
      <c r="I19" s="4">
        <f>IF(SalesData[[#This Row],[Status of Call]]="completed",1,0)</f>
        <v>1</v>
      </c>
      <c r="J19" s="4">
        <f>1</f>
        <v>1</v>
      </c>
      <c r="K19" s="4">
        <f>SalesData[[#This Row],[Completed calls]]/SalesData[[#This Row],[Total calls]]</f>
        <v>1</v>
      </c>
      <c r="L19" s="4">
        <f t="shared" si="1"/>
        <v>1</v>
      </c>
      <c r="M19" s="4">
        <f t="shared" si="0"/>
        <v>0</v>
      </c>
      <c r="N19" s="4">
        <f t="shared" si="2"/>
        <v>1</v>
      </c>
      <c r="O19" s="7">
        <v>46237</v>
      </c>
      <c r="P19" s="8">
        <v>46237.664722222224</v>
      </c>
      <c r="Q19" s="8">
        <v>46237.671458333331</v>
      </c>
      <c r="R19" s="4">
        <v>583</v>
      </c>
      <c r="S19" s="4">
        <f t="shared" si="3"/>
        <v>0</v>
      </c>
      <c r="T19" s="4">
        <v>4</v>
      </c>
      <c r="U19" s="4" t="s">
        <v>26</v>
      </c>
      <c r="V19" s="4" t="s">
        <v>26</v>
      </c>
      <c r="W19" s="6"/>
    </row>
    <row r="20" spans="1:23" x14ac:dyDescent="0.3">
      <c r="A20" s="3" t="s">
        <v>73</v>
      </c>
      <c r="B20" s="4" t="s">
        <v>21</v>
      </c>
      <c r="C20" s="5">
        <v>8099389567</v>
      </c>
      <c r="D20" s="5">
        <v>876036921</v>
      </c>
      <c r="E20" s="6" t="s">
        <v>74</v>
      </c>
      <c r="F20" s="4" t="s">
        <v>75</v>
      </c>
      <c r="G20" s="4">
        <v>1000000030</v>
      </c>
      <c r="H20" s="4" t="s">
        <v>49</v>
      </c>
      <c r="I20" s="4">
        <f>IF(SalesData[[#This Row],[Status of Call]]="completed",1,0)</f>
        <v>0</v>
      </c>
      <c r="J20" s="4">
        <f>1</f>
        <v>1</v>
      </c>
      <c r="K20" s="4">
        <f>SalesData[[#This Row],[Completed calls]]/SalesData[[#This Row],[Total calls]]</f>
        <v>0</v>
      </c>
      <c r="L20" s="4">
        <f t="shared" si="1"/>
        <v>1</v>
      </c>
      <c r="M20" s="4">
        <f t="shared" si="0"/>
        <v>0</v>
      </c>
      <c r="N20" s="4">
        <f t="shared" si="2"/>
        <v>0</v>
      </c>
      <c r="O20" s="7">
        <v>46237</v>
      </c>
      <c r="P20" s="8">
        <v>46237.684687499997</v>
      </c>
      <c r="Q20" s="8">
        <v>46237.685173611113</v>
      </c>
      <c r="R20" s="4">
        <v>43</v>
      </c>
      <c r="S20" s="4">
        <f t="shared" si="3"/>
        <v>1</v>
      </c>
      <c r="T20" s="4"/>
      <c r="U20" s="4" t="s">
        <v>26</v>
      </c>
      <c r="V20" s="4" t="s">
        <v>26</v>
      </c>
      <c r="W20" s="6"/>
    </row>
    <row r="21" spans="1:23" x14ac:dyDescent="0.3">
      <c r="A21" s="3" t="s">
        <v>76</v>
      </c>
      <c r="B21" s="5" t="s">
        <v>21</v>
      </c>
      <c r="C21" s="5">
        <v>8099389567</v>
      </c>
      <c r="D21" s="5">
        <v>590065495</v>
      </c>
      <c r="E21" s="6" t="s">
        <v>77</v>
      </c>
      <c r="F21" s="5" t="s">
        <v>31</v>
      </c>
      <c r="G21" s="5">
        <v>1000000016</v>
      </c>
      <c r="H21" s="5" t="s">
        <v>49</v>
      </c>
      <c r="I21" s="5">
        <f>IF(SalesData[[#This Row],[Status of Call]]="completed",1,0)</f>
        <v>0</v>
      </c>
      <c r="J21" s="5">
        <f>1</f>
        <v>1</v>
      </c>
      <c r="K21" s="5">
        <f>SalesData[[#This Row],[Completed calls]]/SalesData[[#This Row],[Total calls]]</f>
        <v>0</v>
      </c>
      <c r="L21" s="4">
        <f t="shared" si="1"/>
        <v>1</v>
      </c>
      <c r="M21" s="4">
        <f t="shared" si="0"/>
        <v>0</v>
      </c>
      <c r="N21" s="4">
        <f t="shared" si="2"/>
        <v>0</v>
      </c>
      <c r="O21" s="7">
        <v>46236</v>
      </c>
      <c r="P21" s="23" t="s">
        <v>521</v>
      </c>
      <c r="Q21" s="8">
        <v>46236.36482638889</v>
      </c>
      <c r="R21" s="5">
        <v>82</v>
      </c>
      <c r="S21" s="4">
        <f t="shared" si="3"/>
        <v>1</v>
      </c>
      <c r="T21" s="5"/>
      <c r="U21" s="5" t="s">
        <v>26</v>
      </c>
      <c r="V21" s="5" t="s">
        <v>26</v>
      </c>
      <c r="W21" s="6"/>
    </row>
    <row r="22" spans="1:23" x14ac:dyDescent="0.3">
      <c r="A22" s="3" t="s">
        <v>78</v>
      </c>
      <c r="B22" s="4" t="s">
        <v>21</v>
      </c>
      <c r="C22" s="5">
        <v>8099389567</v>
      </c>
      <c r="D22" s="5">
        <v>121125131</v>
      </c>
      <c r="E22" s="6" t="s">
        <v>74</v>
      </c>
      <c r="F22" s="4" t="s">
        <v>64</v>
      </c>
      <c r="G22" s="4">
        <v>1000000001</v>
      </c>
      <c r="H22" s="4" t="s">
        <v>24</v>
      </c>
      <c r="I22" s="4">
        <f>IF(SalesData[[#This Row],[Status of Call]]="completed",1,0)</f>
        <v>0</v>
      </c>
      <c r="J22" s="4">
        <f>1</f>
        <v>1</v>
      </c>
      <c r="K22" s="4">
        <f>SalesData[[#This Row],[Completed calls]]/SalesData[[#This Row],[Total calls]]</f>
        <v>0</v>
      </c>
      <c r="L22" s="4">
        <f t="shared" si="1"/>
        <v>1</v>
      </c>
      <c r="M22" s="4">
        <f t="shared" si="0"/>
        <v>0</v>
      </c>
      <c r="N22" s="4">
        <f t="shared" si="2"/>
        <v>0</v>
      </c>
      <c r="O22" s="7">
        <v>46237</v>
      </c>
      <c r="P22" s="8">
        <v>46237.692083333335</v>
      </c>
      <c r="Q22" s="8">
        <v>46237.692210648151</v>
      </c>
      <c r="R22" s="4">
        <v>12</v>
      </c>
      <c r="S22" s="4">
        <f t="shared" si="3"/>
        <v>0</v>
      </c>
      <c r="T22" s="4"/>
      <c r="U22" s="4" t="s">
        <v>26</v>
      </c>
      <c r="V22" s="4" t="s">
        <v>26</v>
      </c>
      <c r="W22" s="6"/>
    </row>
    <row r="23" spans="1:23" x14ac:dyDescent="0.3">
      <c r="A23" s="3" t="s">
        <v>79</v>
      </c>
      <c r="B23" s="4" t="s">
        <v>21</v>
      </c>
      <c r="C23" s="5">
        <v>8099389567</v>
      </c>
      <c r="D23" s="5">
        <v>480575038</v>
      </c>
      <c r="E23" s="6" t="s">
        <v>80</v>
      </c>
      <c r="F23" s="4" t="s">
        <v>35</v>
      </c>
      <c r="G23" s="4">
        <v>1000000017</v>
      </c>
      <c r="H23" s="4" t="s">
        <v>32</v>
      </c>
      <c r="I23" s="4">
        <f>IF(SalesData[[#This Row],[Status of Call]]="completed",1,0)</f>
        <v>1</v>
      </c>
      <c r="J23" s="4">
        <f>1</f>
        <v>1</v>
      </c>
      <c r="K23" s="4">
        <f>SalesData[[#This Row],[Completed calls]]/SalesData[[#This Row],[Total calls]]</f>
        <v>1</v>
      </c>
      <c r="L23" s="4">
        <f t="shared" si="1"/>
        <v>1</v>
      </c>
      <c r="M23" s="4">
        <f t="shared" si="0"/>
        <v>0</v>
      </c>
      <c r="N23" s="4">
        <f t="shared" si="2"/>
        <v>1</v>
      </c>
      <c r="O23" s="7">
        <v>46237</v>
      </c>
      <c r="P23" s="8">
        <v>46237.707268518519</v>
      </c>
      <c r="Q23" s="8">
        <v>46237.708749999998</v>
      </c>
      <c r="R23" s="4">
        <v>130</v>
      </c>
      <c r="S23" s="4">
        <f t="shared" si="3"/>
        <v>0</v>
      </c>
      <c r="T23" s="4">
        <v>0.4</v>
      </c>
      <c r="U23" s="4" t="s">
        <v>26</v>
      </c>
      <c r="V23" s="4" t="s">
        <v>26</v>
      </c>
      <c r="W23" s="6"/>
    </row>
    <row r="24" spans="1:23" x14ac:dyDescent="0.3">
      <c r="A24" s="3" t="s">
        <v>81</v>
      </c>
      <c r="B24" s="4" t="s">
        <v>21</v>
      </c>
      <c r="C24" s="5">
        <v>8099389567</v>
      </c>
      <c r="D24" s="5">
        <v>287932330</v>
      </c>
      <c r="E24" s="6" t="s">
        <v>63</v>
      </c>
      <c r="F24" s="4" t="s">
        <v>82</v>
      </c>
      <c r="G24" s="4">
        <v>1000000033</v>
      </c>
      <c r="H24" s="4" t="s">
        <v>32</v>
      </c>
      <c r="I24" s="4">
        <f>IF(SalesData[[#This Row],[Status of Call]]="completed",1,0)</f>
        <v>1</v>
      </c>
      <c r="J24" s="4">
        <f>1</f>
        <v>1</v>
      </c>
      <c r="K24" s="4">
        <f>SalesData[[#This Row],[Completed calls]]/SalesData[[#This Row],[Total calls]]</f>
        <v>1</v>
      </c>
      <c r="L24" s="4">
        <f t="shared" si="1"/>
        <v>1</v>
      </c>
      <c r="M24" s="4">
        <f t="shared" si="0"/>
        <v>0</v>
      </c>
      <c r="N24" s="4">
        <f t="shared" si="2"/>
        <v>1</v>
      </c>
      <c r="O24" s="7">
        <v>46237</v>
      </c>
      <c r="P24" s="8">
        <v>46237.70884259259</v>
      </c>
      <c r="Q24" s="8">
        <v>46237.710625</v>
      </c>
      <c r="R24" s="4">
        <v>155</v>
      </c>
      <c r="S24" s="4">
        <f t="shared" si="3"/>
        <v>0</v>
      </c>
      <c r="T24" s="4">
        <v>0.8</v>
      </c>
      <c r="U24" s="4" t="s">
        <v>26</v>
      </c>
      <c r="V24" s="4" t="s">
        <v>26</v>
      </c>
      <c r="W24" s="6"/>
    </row>
    <row r="25" spans="1:23" x14ac:dyDescent="0.3">
      <c r="A25" s="3" t="s">
        <v>83</v>
      </c>
      <c r="B25" s="4" t="s">
        <v>21</v>
      </c>
      <c r="C25" s="5">
        <v>8099389567</v>
      </c>
      <c r="D25" s="5">
        <v>823887648</v>
      </c>
      <c r="E25" s="6" t="s">
        <v>53</v>
      </c>
      <c r="F25" s="4" t="s">
        <v>84</v>
      </c>
      <c r="G25" s="4">
        <v>1000000012</v>
      </c>
      <c r="H25" s="4" t="s">
        <v>32</v>
      </c>
      <c r="I25" s="4">
        <f>IF(SalesData[[#This Row],[Status of Call]]="completed",1,0)</f>
        <v>1</v>
      </c>
      <c r="J25" s="4">
        <f>1</f>
        <v>1</v>
      </c>
      <c r="K25" s="4">
        <f>SalesData[[#This Row],[Completed calls]]/SalesData[[#This Row],[Total calls]]</f>
        <v>1</v>
      </c>
      <c r="L25" s="4">
        <f t="shared" si="1"/>
        <v>1</v>
      </c>
      <c r="M25" s="4">
        <f t="shared" si="0"/>
        <v>0</v>
      </c>
      <c r="N25" s="4">
        <f t="shared" si="2"/>
        <v>1</v>
      </c>
      <c r="O25" s="7">
        <v>46237</v>
      </c>
      <c r="P25" s="8">
        <v>46237.712164351855</v>
      </c>
      <c r="Q25" s="8">
        <v>46237.717858796299</v>
      </c>
      <c r="R25" s="4">
        <v>494</v>
      </c>
      <c r="S25" s="4">
        <f t="shared" si="3"/>
        <v>0</v>
      </c>
      <c r="T25" s="4">
        <v>3.2</v>
      </c>
      <c r="U25" s="4" t="s">
        <v>26</v>
      </c>
      <c r="V25" s="4" t="s">
        <v>26</v>
      </c>
      <c r="W25" s="6"/>
    </row>
    <row r="26" spans="1:23" x14ac:dyDescent="0.3">
      <c r="A26" s="3" t="s">
        <v>85</v>
      </c>
      <c r="B26" s="4" t="s">
        <v>21</v>
      </c>
      <c r="C26" s="5">
        <v>8099389567</v>
      </c>
      <c r="D26" s="5">
        <v>279744156</v>
      </c>
      <c r="E26" s="6" t="s">
        <v>86</v>
      </c>
      <c r="F26" s="4" t="s">
        <v>82</v>
      </c>
      <c r="G26" s="4">
        <v>1000000033</v>
      </c>
      <c r="H26" s="4" t="s">
        <v>24</v>
      </c>
      <c r="I26" s="4">
        <f>IF(SalesData[[#This Row],[Status of Call]]="completed",1,0)</f>
        <v>0</v>
      </c>
      <c r="J26" s="4">
        <f>1</f>
        <v>1</v>
      </c>
      <c r="K26" s="4">
        <f>SalesData[[#This Row],[Completed calls]]/SalesData[[#This Row],[Total calls]]</f>
        <v>0</v>
      </c>
      <c r="L26" s="4">
        <f t="shared" si="1"/>
        <v>1</v>
      </c>
      <c r="M26" s="4">
        <f t="shared" si="0"/>
        <v>0</v>
      </c>
      <c r="N26" s="4">
        <f t="shared" si="2"/>
        <v>0</v>
      </c>
      <c r="O26" s="7">
        <v>46237</v>
      </c>
      <c r="P26" s="8">
        <v>46237.720925925925</v>
      </c>
      <c r="Q26" s="8">
        <v>46237.721076388887</v>
      </c>
      <c r="R26" s="4">
        <v>11</v>
      </c>
      <c r="S26" s="4">
        <f t="shared" si="3"/>
        <v>0</v>
      </c>
      <c r="T26" s="4"/>
      <c r="U26" s="4" t="s">
        <v>26</v>
      </c>
      <c r="V26" s="4" t="s">
        <v>26</v>
      </c>
      <c r="W26" s="6"/>
    </row>
    <row r="27" spans="1:23" x14ac:dyDescent="0.3">
      <c r="A27" s="3" t="s">
        <v>87</v>
      </c>
      <c r="B27" s="4" t="s">
        <v>21</v>
      </c>
      <c r="C27" s="5">
        <v>8099389567</v>
      </c>
      <c r="D27" s="5">
        <v>233114113</v>
      </c>
      <c r="E27" s="6" t="s">
        <v>22</v>
      </c>
      <c r="F27" s="4" t="s">
        <v>68</v>
      </c>
      <c r="G27" s="4">
        <v>1000000007</v>
      </c>
      <c r="H27" s="4" t="s">
        <v>32</v>
      </c>
      <c r="I27" s="4">
        <f>IF(SalesData[[#This Row],[Status of Call]]="completed",1,0)</f>
        <v>1</v>
      </c>
      <c r="J27" s="4">
        <f>1</f>
        <v>1</v>
      </c>
      <c r="K27" s="4">
        <f>SalesData[[#This Row],[Completed calls]]/SalesData[[#This Row],[Total calls]]</f>
        <v>1</v>
      </c>
      <c r="L27" s="4">
        <f t="shared" si="1"/>
        <v>1</v>
      </c>
      <c r="M27" s="4">
        <f t="shared" si="0"/>
        <v>0</v>
      </c>
      <c r="N27" s="4">
        <f t="shared" si="2"/>
        <v>1</v>
      </c>
      <c r="O27" s="7">
        <v>46237</v>
      </c>
      <c r="P27" s="8">
        <v>46237.723240740743</v>
      </c>
      <c r="Q27" s="8">
        <v>46237.725069444445</v>
      </c>
      <c r="R27" s="4">
        <v>163</v>
      </c>
      <c r="S27" s="4">
        <f t="shared" si="3"/>
        <v>0</v>
      </c>
      <c r="T27" s="4">
        <v>0.8</v>
      </c>
      <c r="U27" s="4" t="s">
        <v>26</v>
      </c>
      <c r="V27" s="4" t="s">
        <v>26</v>
      </c>
      <c r="W27" s="6"/>
    </row>
    <row r="28" spans="1:23" x14ac:dyDescent="0.3">
      <c r="A28" s="3" t="s">
        <v>88</v>
      </c>
      <c r="B28" s="4" t="s">
        <v>21</v>
      </c>
      <c r="C28" s="5">
        <v>8099389567</v>
      </c>
      <c r="D28" s="5">
        <v>628821463</v>
      </c>
      <c r="E28" s="6" t="s">
        <v>89</v>
      </c>
      <c r="F28" s="4" t="s">
        <v>90</v>
      </c>
      <c r="G28" s="4">
        <v>1000000020</v>
      </c>
      <c r="H28" s="4" t="s">
        <v>32</v>
      </c>
      <c r="I28" s="4">
        <f>IF(SalesData[[#This Row],[Status of Call]]="completed",1,0)</f>
        <v>1</v>
      </c>
      <c r="J28" s="4">
        <f>1</f>
        <v>1</v>
      </c>
      <c r="K28" s="4">
        <f>SalesData[[#This Row],[Completed calls]]/SalesData[[#This Row],[Total calls]]</f>
        <v>1</v>
      </c>
      <c r="L28" s="4">
        <f t="shared" si="1"/>
        <v>1</v>
      </c>
      <c r="M28" s="4">
        <f t="shared" si="0"/>
        <v>0</v>
      </c>
      <c r="N28" s="4">
        <f t="shared" si="2"/>
        <v>1</v>
      </c>
      <c r="O28" s="7">
        <v>46237</v>
      </c>
      <c r="P28" s="8">
        <v>46237.730497685188</v>
      </c>
      <c r="Q28" s="8">
        <v>46237.73159722222</v>
      </c>
      <c r="R28" s="4">
        <v>96</v>
      </c>
      <c r="S28" s="4">
        <f t="shared" si="3"/>
        <v>0</v>
      </c>
      <c r="T28" s="4">
        <v>0.4</v>
      </c>
      <c r="U28" s="4" t="s">
        <v>26</v>
      </c>
      <c r="V28" s="4" t="s">
        <v>26</v>
      </c>
      <c r="W28" s="6"/>
    </row>
    <row r="29" spans="1:23" x14ac:dyDescent="0.3">
      <c r="A29" s="3" t="s">
        <v>91</v>
      </c>
      <c r="B29" s="4" t="s">
        <v>21</v>
      </c>
      <c r="C29" s="5">
        <v>8099389567</v>
      </c>
      <c r="D29" s="5">
        <v>379376386</v>
      </c>
      <c r="E29" s="6" t="s">
        <v>64</v>
      </c>
      <c r="F29" s="4" t="s">
        <v>82</v>
      </c>
      <c r="G29" s="4">
        <v>1000000033</v>
      </c>
      <c r="H29" s="4" t="s">
        <v>24</v>
      </c>
      <c r="I29" s="4">
        <f>IF(SalesData[[#This Row],[Status of Call]]="completed",1,0)</f>
        <v>0</v>
      </c>
      <c r="J29" s="4">
        <f>1</f>
        <v>1</v>
      </c>
      <c r="K29" s="4">
        <f>SalesData[[#This Row],[Completed calls]]/SalesData[[#This Row],[Total calls]]</f>
        <v>0</v>
      </c>
      <c r="L29" s="4">
        <f t="shared" si="1"/>
        <v>1</v>
      </c>
      <c r="M29" s="4">
        <f t="shared" si="0"/>
        <v>0</v>
      </c>
      <c r="N29" s="4">
        <f t="shared" si="2"/>
        <v>0</v>
      </c>
      <c r="O29" s="7">
        <v>46237</v>
      </c>
      <c r="P29" s="8">
        <v>46237.730717592596</v>
      </c>
      <c r="Q29" s="8">
        <v>46237.730833333335</v>
      </c>
      <c r="R29" s="4">
        <v>11</v>
      </c>
      <c r="S29" s="4">
        <f t="shared" si="3"/>
        <v>0</v>
      </c>
      <c r="T29" s="4"/>
      <c r="U29" s="4" t="s">
        <v>26</v>
      </c>
      <c r="V29" s="4" t="s">
        <v>26</v>
      </c>
      <c r="W29" s="6"/>
    </row>
    <row r="30" spans="1:23" x14ac:dyDescent="0.3">
      <c r="A30" s="3" t="s">
        <v>92</v>
      </c>
      <c r="B30" s="4" t="s">
        <v>21</v>
      </c>
      <c r="C30" s="5">
        <v>8099389567</v>
      </c>
      <c r="D30" s="5">
        <v>432037307</v>
      </c>
      <c r="E30" s="6" t="s">
        <v>70</v>
      </c>
      <c r="F30" s="4" t="s">
        <v>93</v>
      </c>
      <c r="G30" s="4">
        <v>1000000039</v>
      </c>
      <c r="H30" s="4" t="s">
        <v>24</v>
      </c>
      <c r="I30" s="4">
        <f>IF(SalesData[[#This Row],[Status of Call]]="completed",1,0)</f>
        <v>0</v>
      </c>
      <c r="J30" s="4">
        <f>1</f>
        <v>1</v>
      </c>
      <c r="K30" s="4">
        <f>SalesData[[#This Row],[Completed calls]]/SalesData[[#This Row],[Total calls]]</f>
        <v>0</v>
      </c>
      <c r="L30" s="4">
        <f t="shared" si="1"/>
        <v>1</v>
      </c>
      <c r="M30" s="4">
        <f t="shared" si="0"/>
        <v>0</v>
      </c>
      <c r="N30" s="4">
        <f t="shared" si="2"/>
        <v>0</v>
      </c>
      <c r="O30" s="7">
        <v>46237</v>
      </c>
      <c r="P30" s="8">
        <v>46237.731458333335</v>
      </c>
      <c r="Q30" s="8">
        <v>46237.731539351851</v>
      </c>
      <c r="R30" s="4">
        <v>8</v>
      </c>
      <c r="S30" s="4">
        <f t="shared" si="3"/>
        <v>0</v>
      </c>
      <c r="T30" s="4"/>
      <c r="U30" s="4" t="s">
        <v>26</v>
      </c>
      <c r="V30" s="4" t="s">
        <v>26</v>
      </c>
      <c r="W30" s="6"/>
    </row>
    <row r="31" spans="1:23" x14ac:dyDescent="0.3">
      <c r="A31" s="3" t="s">
        <v>94</v>
      </c>
      <c r="B31" s="4" t="s">
        <v>21</v>
      </c>
      <c r="C31" s="5">
        <v>8099389567</v>
      </c>
      <c r="D31" s="5">
        <v>401249303</v>
      </c>
      <c r="E31" s="6" t="s">
        <v>86</v>
      </c>
      <c r="F31" s="4" t="s">
        <v>95</v>
      </c>
      <c r="G31" s="4">
        <v>1000000013</v>
      </c>
      <c r="H31" s="4" t="s">
        <v>32</v>
      </c>
      <c r="I31" s="4">
        <f>IF(SalesData[[#This Row],[Status of Call]]="completed",1,0)</f>
        <v>1</v>
      </c>
      <c r="J31" s="4">
        <f>1</f>
        <v>1</v>
      </c>
      <c r="K31" s="4">
        <f>SalesData[[#This Row],[Completed calls]]/SalesData[[#This Row],[Total calls]]</f>
        <v>1</v>
      </c>
      <c r="L31" s="4">
        <f t="shared" si="1"/>
        <v>1</v>
      </c>
      <c r="M31" s="4">
        <f t="shared" si="0"/>
        <v>0</v>
      </c>
      <c r="N31" s="4">
        <f t="shared" si="2"/>
        <v>1</v>
      </c>
      <c r="O31" s="7">
        <v>46237</v>
      </c>
      <c r="P31" s="8">
        <v>46237.731631944444</v>
      </c>
      <c r="Q31" s="8">
        <v>46237.733425925922</v>
      </c>
      <c r="R31" s="4">
        <v>156</v>
      </c>
      <c r="S31" s="4">
        <f t="shared" si="3"/>
        <v>0</v>
      </c>
      <c r="T31" s="4">
        <v>0.4</v>
      </c>
      <c r="U31" s="4" t="s">
        <v>26</v>
      </c>
      <c r="V31" s="4" t="s">
        <v>26</v>
      </c>
      <c r="W31" s="6"/>
    </row>
    <row r="32" spans="1:23" x14ac:dyDescent="0.3">
      <c r="A32" s="3" t="s">
        <v>96</v>
      </c>
      <c r="B32" s="5" t="s">
        <v>21</v>
      </c>
      <c r="C32" s="5">
        <v>8099389567</v>
      </c>
      <c r="D32" s="5">
        <v>416937095</v>
      </c>
      <c r="E32" s="6" t="s">
        <v>97</v>
      </c>
      <c r="F32" s="5" t="s">
        <v>98</v>
      </c>
      <c r="G32" s="5">
        <v>1000000015</v>
      </c>
      <c r="H32" s="5" t="s">
        <v>32</v>
      </c>
      <c r="I32" s="5">
        <f>IF(SalesData[[#This Row],[Status of Call]]="completed",1,0)</f>
        <v>1</v>
      </c>
      <c r="J32" s="5">
        <f>1</f>
        <v>1</v>
      </c>
      <c r="K32" s="5">
        <f>SalesData[[#This Row],[Completed calls]]/SalesData[[#This Row],[Total calls]]</f>
        <v>1</v>
      </c>
      <c r="L32" s="4">
        <f t="shared" si="1"/>
        <v>1</v>
      </c>
      <c r="M32" s="4">
        <f t="shared" si="0"/>
        <v>0</v>
      </c>
      <c r="N32" s="4">
        <f t="shared" si="2"/>
        <v>1</v>
      </c>
      <c r="O32" s="7">
        <v>46236</v>
      </c>
      <c r="P32" s="8">
        <v>46236.368125000001</v>
      </c>
      <c r="Q32" s="8">
        <v>46236.372881944444</v>
      </c>
      <c r="R32" s="5">
        <v>412</v>
      </c>
      <c r="S32" s="4">
        <f t="shared" si="3"/>
        <v>0</v>
      </c>
      <c r="T32" s="5">
        <v>2.8</v>
      </c>
      <c r="U32" s="5" t="s">
        <v>26</v>
      </c>
      <c r="V32" s="5" t="s">
        <v>26</v>
      </c>
      <c r="W32" s="6"/>
    </row>
    <row r="33" spans="1:23" x14ac:dyDescent="0.3">
      <c r="A33" s="3" t="s">
        <v>99</v>
      </c>
      <c r="B33" s="4" t="s">
        <v>21</v>
      </c>
      <c r="C33" s="5">
        <v>8099389567</v>
      </c>
      <c r="D33" s="5">
        <v>319647139</v>
      </c>
      <c r="E33" s="6" t="s">
        <v>80</v>
      </c>
      <c r="F33" s="4" t="s">
        <v>44</v>
      </c>
      <c r="G33" s="4">
        <v>1000000010</v>
      </c>
      <c r="H33" s="4" t="s">
        <v>24</v>
      </c>
      <c r="I33" s="4">
        <f>IF(SalesData[[#This Row],[Status of Call]]="completed",1,0)</f>
        <v>0</v>
      </c>
      <c r="J33" s="4">
        <f>1</f>
        <v>1</v>
      </c>
      <c r="K33" s="4">
        <f>SalesData[[#This Row],[Completed calls]]/SalesData[[#This Row],[Total calls]]</f>
        <v>0</v>
      </c>
      <c r="L33" s="4">
        <f t="shared" si="1"/>
        <v>1</v>
      </c>
      <c r="M33" s="4">
        <f t="shared" si="0"/>
        <v>0</v>
      </c>
      <c r="N33" s="4">
        <f t="shared" si="2"/>
        <v>0</v>
      </c>
      <c r="O33" s="7">
        <v>46237</v>
      </c>
      <c r="P33" s="8">
        <v>46237.733344907407</v>
      </c>
      <c r="Q33" s="8">
        <v>46237.733564814815</v>
      </c>
      <c r="R33" s="4">
        <v>20</v>
      </c>
      <c r="S33" s="4">
        <f t="shared" si="3"/>
        <v>0</v>
      </c>
      <c r="T33" s="4"/>
      <c r="U33" s="4" t="s">
        <v>26</v>
      </c>
      <c r="V33" s="4" t="s">
        <v>26</v>
      </c>
      <c r="W33" s="6"/>
    </row>
    <row r="34" spans="1:23" x14ac:dyDescent="0.3">
      <c r="A34" s="3" t="s">
        <v>100</v>
      </c>
      <c r="B34" s="4" t="s">
        <v>21</v>
      </c>
      <c r="C34" s="5">
        <v>8099389567</v>
      </c>
      <c r="D34" s="5">
        <v>139164288</v>
      </c>
      <c r="E34" s="6" t="s">
        <v>101</v>
      </c>
      <c r="F34" s="4" t="s">
        <v>102</v>
      </c>
      <c r="G34" s="4">
        <v>1000000024</v>
      </c>
      <c r="H34" s="4" t="s">
        <v>32</v>
      </c>
      <c r="I34" s="4">
        <f>IF(SalesData[[#This Row],[Status of Call]]="completed",1,0)</f>
        <v>1</v>
      </c>
      <c r="J34" s="4">
        <f>1</f>
        <v>1</v>
      </c>
      <c r="K34" s="4">
        <f>SalesData[[#This Row],[Completed calls]]/SalesData[[#This Row],[Total calls]]</f>
        <v>1</v>
      </c>
      <c r="L34" s="4">
        <f t="shared" si="1"/>
        <v>1</v>
      </c>
      <c r="M34" s="4">
        <f t="shared" si="0"/>
        <v>0</v>
      </c>
      <c r="N34" s="4">
        <f t="shared" si="2"/>
        <v>1</v>
      </c>
      <c r="O34" s="7">
        <v>46237</v>
      </c>
      <c r="P34" s="8">
        <v>46237.733506944445</v>
      </c>
      <c r="Q34" s="8">
        <v>46237.734166666669</v>
      </c>
      <c r="R34" s="4">
        <v>62</v>
      </c>
      <c r="S34" s="4">
        <f t="shared" si="3"/>
        <v>0</v>
      </c>
      <c r="T34" s="4">
        <v>0.4</v>
      </c>
      <c r="U34" s="4" t="s">
        <v>26</v>
      </c>
      <c r="V34" s="4" t="s">
        <v>26</v>
      </c>
      <c r="W34" s="6"/>
    </row>
    <row r="35" spans="1:23" x14ac:dyDescent="0.3">
      <c r="A35" s="3" t="s">
        <v>103</v>
      </c>
      <c r="B35" s="4" t="s">
        <v>21</v>
      </c>
      <c r="C35" s="5">
        <v>8099389567</v>
      </c>
      <c r="D35" s="5">
        <v>290751369</v>
      </c>
      <c r="E35" s="6" t="s">
        <v>104</v>
      </c>
      <c r="F35" s="4" t="s">
        <v>54</v>
      </c>
      <c r="G35" s="4">
        <v>1000000011</v>
      </c>
      <c r="H35" s="4" t="s">
        <v>32</v>
      </c>
      <c r="I35" s="4">
        <f>IF(SalesData[[#This Row],[Status of Call]]="completed",1,0)</f>
        <v>1</v>
      </c>
      <c r="J35" s="4">
        <f>1</f>
        <v>1</v>
      </c>
      <c r="K35" s="4">
        <f>SalesData[[#This Row],[Completed calls]]/SalesData[[#This Row],[Total calls]]</f>
        <v>1</v>
      </c>
      <c r="L35" s="4">
        <f t="shared" si="1"/>
        <v>1</v>
      </c>
      <c r="M35" s="4">
        <f t="shared" si="0"/>
        <v>0</v>
      </c>
      <c r="N35" s="4">
        <f t="shared" si="2"/>
        <v>1</v>
      </c>
      <c r="O35" s="7">
        <v>46237</v>
      </c>
      <c r="P35" s="8">
        <v>46237.734259259261</v>
      </c>
      <c r="Q35" s="8">
        <v>46237.744085648148</v>
      </c>
      <c r="R35" s="4">
        <v>850</v>
      </c>
      <c r="S35" s="4">
        <f t="shared" si="3"/>
        <v>0</v>
      </c>
      <c r="T35" s="4">
        <v>5.6</v>
      </c>
      <c r="U35" s="4" t="s">
        <v>26</v>
      </c>
      <c r="V35" s="4" t="s">
        <v>26</v>
      </c>
      <c r="W35" s="6"/>
    </row>
    <row r="36" spans="1:23" x14ac:dyDescent="0.3">
      <c r="A36" s="3" t="s">
        <v>105</v>
      </c>
      <c r="B36" s="4" t="s">
        <v>21</v>
      </c>
      <c r="C36" s="5">
        <v>8099389567</v>
      </c>
      <c r="D36" s="5">
        <v>107059949</v>
      </c>
      <c r="E36" s="6" t="s">
        <v>106</v>
      </c>
      <c r="F36" s="4" t="s">
        <v>107</v>
      </c>
      <c r="G36" s="4">
        <v>1000000035</v>
      </c>
      <c r="H36" s="4" t="s">
        <v>24</v>
      </c>
      <c r="I36" s="4">
        <f>IF(SalesData[[#This Row],[Status of Call]]="completed",1,0)</f>
        <v>0</v>
      </c>
      <c r="J36" s="4">
        <f>1</f>
        <v>1</v>
      </c>
      <c r="K36" s="4">
        <f>SalesData[[#This Row],[Completed calls]]/SalesData[[#This Row],[Total calls]]</f>
        <v>0</v>
      </c>
      <c r="L36" s="4">
        <f t="shared" si="1"/>
        <v>1</v>
      </c>
      <c r="M36" s="4">
        <f t="shared" si="0"/>
        <v>0</v>
      </c>
      <c r="N36" s="4">
        <f t="shared" si="2"/>
        <v>0</v>
      </c>
      <c r="O36" s="7">
        <v>46237</v>
      </c>
      <c r="P36" s="8">
        <v>46237.734699074077</v>
      </c>
      <c r="Q36" s="8">
        <v>46237.734791666669</v>
      </c>
      <c r="R36" s="4">
        <v>9</v>
      </c>
      <c r="S36" s="4">
        <f t="shared" si="3"/>
        <v>0</v>
      </c>
      <c r="T36" s="4"/>
      <c r="U36" s="4" t="s">
        <v>26</v>
      </c>
      <c r="V36" s="4" t="s">
        <v>26</v>
      </c>
      <c r="W36" s="6"/>
    </row>
    <row r="37" spans="1:23" x14ac:dyDescent="0.3">
      <c r="A37" s="3" t="s">
        <v>108</v>
      </c>
      <c r="B37" s="4" t="s">
        <v>21</v>
      </c>
      <c r="C37" s="5">
        <v>8099389567</v>
      </c>
      <c r="D37" s="5">
        <v>971503761</v>
      </c>
      <c r="E37" s="6" t="s">
        <v>60</v>
      </c>
      <c r="F37" s="4" t="s">
        <v>70</v>
      </c>
      <c r="G37" s="4">
        <v>1000000002</v>
      </c>
      <c r="H37" s="4" t="s">
        <v>32</v>
      </c>
      <c r="I37" s="4">
        <f>IF(SalesData[[#This Row],[Status of Call]]="completed",1,0)</f>
        <v>1</v>
      </c>
      <c r="J37" s="4">
        <f>1</f>
        <v>1</v>
      </c>
      <c r="K37" s="4">
        <f>SalesData[[#This Row],[Completed calls]]/SalesData[[#This Row],[Total calls]]</f>
        <v>1</v>
      </c>
      <c r="L37" s="4">
        <f t="shared" si="1"/>
        <v>1</v>
      </c>
      <c r="M37" s="4">
        <f t="shared" si="0"/>
        <v>0</v>
      </c>
      <c r="N37" s="4">
        <f t="shared" si="2"/>
        <v>1</v>
      </c>
      <c r="O37" s="7">
        <v>46237</v>
      </c>
      <c r="P37" s="8">
        <v>46237.738553240742</v>
      </c>
      <c r="Q37" s="8">
        <v>46237.739027777781</v>
      </c>
      <c r="R37" s="4">
        <v>43</v>
      </c>
      <c r="S37" s="4">
        <f t="shared" si="3"/>
        <v>0</v>
      </c>
      <c r="T37" s="4">
        <v>0.4</v>
      </c>
      <c r="U37" s="4" t="s">
        <v>109</v>
      </c>
      <c r="V37" s="4" t="s">
        <v>26</v>
      </c>
      <c r="W37" s="6"/>
    </row>
    <row r="38" spans="1:23" x14ac:dyDescent="0.3">
      <c r="A38" s="3" t="s">
        <v>110</v>
      </c>
      <c r="B38" s="5" t="s">
        <v>21</v>
      </c>
      <c r="C38" s="5">
        <v>8099389567</v>
      </c>
      <c r="D38" s="5">
        <v>720035961</v>
      </c>
      <c r="E38" s="6" t="s">
        <v>104</v>
      </c>
      <c r="F38" s="5" t="s">
        <v>28</v>
      </c>
      <c r="G38" s="5">
        <v>1000000009</v>
      </c>
      <c r="H38" s="5" t="s">
        <v>49</v>
      </c>
      <c r="I38" s="5">
        <f>IF(SalesData[[#This Row],[Status of Call]]="completed",1,0)</f>
        <v>0</v>
      </c>
      <c r="J38" s="5">
        <f>1</f>
        <v>1</v>
      </c>
      <c r="K38" s="5">
        <f>SalesData[[#This Row],[Completed calls]]/SalesData[[#This Row],[Total calls]]</f>
        <v>0</v>
      </c>
      <c r="L38" s="4">
        <f t="shared" si="1"/>
        <v>1</v>
      </c>
      <c r="M38" s="4">
        <f t="shared" si="0"/>
        <v>0</v>
      </c>
      <c r="N38" s="4">
        <f t="shared" si="2"/>
        <v>0</v>
      </c>
      <c r="O38" s="7">
        <v>46236</v>
      </c>
      <c r="P38" s="8">
        <v>46236.389930555553</v>
      </c>
      <c r="Q38" s="8">
        <v>46236.390567129631</v>
      </c>
      <c r="R38" s="5">
        <v>56</v>
      </c>
      <c r="S38" s="4">
        <f t="shared" si="3"/>
        <v>1</v>
      </c>
      <c r="T38" s="5"/>
      <c r="U38" s="5" t="s">
        <v>26</v>
      </c>
      <c r="V38" s="5" t="s">
        <v>26</v>
      </c>
      <c r="W38" s="6"/>
    </row>
    <row r="39" spans="1:23" x14ac:dyDescent="0.3">
      <c r="A39" s="3" t="s">
        <v>111</v>
      </c>
      <c r="B39" s="4" t="s">
        <v>21</v>
      </c>
      <c r="C39" s="5">
        <v>8099389567</v>
      </c>
      <c r="D39" s="5">
        <v>635859674</v>
      </c>
      <c r="E39" s="6" t="s">
        <v>68</v>
      </c>
      <c r="F39" s="4" t="s">
        <v>90</v>
      </c>
      <c r="G39" s="4">
        <v>1000000020</v>
      </c>
      <c r="H39" s="4" t="s">
        <v>24</v>
      </c>
      <c r="I39" s="4">
        <f>IF(SalesData[[#This Row],[Status of Call]]="completed",1,0)</f>
        <v>0</v>
      </c>
      <c r="J39" s="4">
        <f>1</f>
        <v>1</v>
      </c>
      <c r="K39" s="4">
        <f>SalesData[[#This Row],[Completed calls]]/SalesData[[#This Row],[Total calls]]</f>
        <v>0</v>
      </c>
      <c r="L39" s="4">
        <f t="shared" si="1"/>
        <v>1</v>
      </c>
      <c r="M39" s="4">
        <f t="shared" si="0"/>
        <v>0</v>
      </c>
      <c r="N39" s="4">
        <f t="shared" si="2"/>
        <v>0</v>
      </c>
      <c r="O39" s="7">
        <v>46237</v>
      </c>
      <c r="P39" s="8">
        <v>46237.739062499997</v>
      </c>
      <c r="Q39" s="8">
        <v>46237.739305555559</v>
      </c>
      <c r="R39" s="4">
        <v>22</v>
      </c>
      <c r="S39" s="4">
        <f t="shared" si="3"/>
        <v>0</v>
      </c>
      <c r="T39" s="4"/>
      <c r="U39" s="4" t="s">
        <v>109</v>
      </c>
      <c r="V39" s="4" t="s">
        <v>26</v>
      </c>
      <c r="W39" s="6"/>
    </row>
    <row r="40" spans="1:23" x14ac:dyDescent="0.3">
      <c r="A40" s="3" t="s">
        <v>112</v>
      </c>
      <c r="B40" s="4" t="s">
        <v>21</v>
      </c>
      <c r="C40" s="5">
        <v>8099389567</v>
      </c>
      <c r="D40" s="5">
        <v>49531867</v>
      </c>
      <c r="E40" s="6" t="s">
        <v>70</v>
      </c>
      <c r="F40" s="4" t="s">
        <v>31</v>
      </c>
      <c r="G40" s="4">
        <v>1000000016</v>
      </c>
      <c r="H40" s="4" t="s">
        <v>32</v>
      </c>
      <c r="I40" s="4">
        <f>IF(SalesData[[#This Row],[Status of Call]]="completed",1,0)</f>
        <v>1</v>
      </c>
      <c r="J40" s="4">
        <f>1</f>
        <v>1</v>
      </c>
      <c r="K40" s="4">
        <f>SalesData[[#This Row],[Completed calls]]/SalesData[[#This Row],[Total calls]]</f>
        <v>1</v>
      </c>
      <c r="L40" s="4">
        <f t="shared" si="1"/>
        <v>1</v>
      </c>
      <c r="M40" s="4">
        <f t="shared" si="0"/>
        <v>0</v>
      </c>
      <c r="N40" s="4">
        <f t="shared" si="2"/>
        <v>1</v>
      </c>
      <c r="O40" s="7">
        <v>46237</v>
      </c>
      <c r="P40" s="8">
        <v>46237.739629629628</v>
      </c>
      <c r="Q40" s="8">
        <v>46237.740567129629</v>
      </c>
      <c r="R40" s="4">
        <v>82</v>
      </c>
      <c r="S40" s="4">
        <f t="shared" si="3"/>
        <v>0</v>
      </c>
      <c r="T40" s="4">
        <v>0.4</v>
      </c>
      <c r="U40" s="4" t="s">
        <v>109</v>
      </c>
      <c r="V40" s="4" t="s">
        <v>26</v>
      </c>
      <c r="W40" s="6"/>
    </row>
    <row r="41" spans="1:23" x14ac:dyDescent="0.3">
      <c r="A41" s="3" t="s">
        <v>113</v>
      </c>
      <c r="B41" s="4" t="s">
        <v>21</v>
      </c>
      <c r="C41" s="5">
        <v>8099389567</v>
      </c>
      <c r="D41" s="5">
        <v>897517981</v>
      </c>
      <c r="E41" s="6" t="s">
        <v>37</v>
      </c>
      <c r="F41" s="4" t="s">
        <v>114</v>
      </c>
      <c r="G41" s="4">
        <v>1000000037</v>
      </c>
      <c r="H41" s="4" t="s">
        <v>32</v>
      </c>
      <c r="I41" s="4">
        <f>IF(SalesData[[#This Row],[Status of Call]]="completed",1,0)</f>
        <v>1</v>
      </c>
      <c r="J41" s="4">
        <f>1</f>
        <v>1</v>
      </c>
      <c r="K41" s="4">
        <f>SalesData[[#This Row],[Completed calls]]/SalesData[[#This Row],[Total calls]]</f>
        <v>1</v>
      </c>
      <c r="L41" s="4">
        <f t="shared" si="1"/>
        <v>1</v>
      </c>
      <c r="M41" s="4">
        <f t="shared" si="0"/>
        <v>0</v>
      </c>
      <c r="N41" s="4">
        <f t="shared" si="2"/>
        <v>1</v>
      </c>
      <c r="O41" s="7">
        <v>46237</v>
      </c>
      <c r="P41" s="8">
        <v>46237.741481481484</v>
      </c>
      <c r="Q41" s="8">
        <v>46237.742129629631</v>
      </c>
      <c r="R41" s="4">
        <v>57</v>
      </c>
      <c r="S41" s="4">
        <f t="shared" si="3"/>
        <v>0</v>
      </c>
      <c r="T41" s="4">
        <v>0.4</v>
      </c>
      <c r="U41" s="4" t="s">
        <v>109</v>
      </c>
      <c r="V41" s="4" t="s">
        <v>26</v>
      </c>
      <c r="W41" s="6"/>
    </row>
    <row r="42" spans="1:23" x14ac:dyDescent="0.3">
      <c r="A42" s="3" t="s">
        <v>115</v>
      </c>
      <c r="B42" s="4" t="s">
        <v>21</v>
      </c>
      <c r="C42" s="5">
        <v>8099389567</v>
      </c>
      <c r="D42" s="5">
        <v>85072446</v>
      </c>
      <c r="E42" s="6" t="s">
        <v>48</v>
      </c>
      <c r="F42" s="4" t="s">
        <v>41</v>
      </c>
      <c r="G42" s="4">
        <v>1000000006</v>
      </c>
      <c r="H42" s="4" t="s">
        <v>32</v>
      </c>
      <c r="I42" s="4">
        <f>IF(SalesData[[#This Row],[Status of Call]]="completed",1,0)</f>
        <v>1</v>
      </c>
      <c r="J42" s="4">
        <f>1</f>
        <v>1</v>
      </c>
      <c r="K42" s="4">
        <f>SalesData[[#This Row],[Completed calls]]/SalesData[[#This Row],[Total calls]]</f>
        <v>1</v>
      </c>
      <c r="L42" s="4">
        <f t="shared" si="1"/>
        <v>1</v>
      </c>
      <c r="M42" s="4">
        <f t="shared" si="0"/>
        <v>0</v>
      </c>
      <c r="N42" s="4">
        <f t="shared" si="2"/>
        <v>1</v>
      </c>
      <c r="O42" s="7">
        <v>46237</v>
      </c>
      <c r="P42" s="8">
        <v>46237.742175925923</v>
      </c>
      <c r="Q42" s="8">
        <v>46237.742662037039</v>
      </c>
      <c r="R42" s="4">
        <v>43</v>
      </c>
      <c r="S42" s="4">
        <f t="shared" si="3"/>
        <v>0</v>
      </c>
      <c r="T42" s="4">
        <v>0.4</v>
      </c>
      <c r="U42" s="4" t="s">
        <v>109</v>
      </c>
      <c r="V42" s="4" t="s">
        <v>26</v>
      </c>
      <c r="W42" s="6"/>
    </row>
    <row r="43" spans="1:23" x14ac:dyDescent="0.3">
      <c r="A43" s="3" t="s">
        <v>116</v>
      </c>
      <c r="B43" s="4" t="s">
        <v>21</v>
      </c>
      <c r="C43" s="5">
        <v>8099389567</v>
      </c>
      <c r="D43" s="5">
        <v>847982401</v>
      </c>
      <c r="E43" s="6" t="s">
        <v>60</v>
      </c>
      <c r="F43" s="4" t="s">
        <v>117</v>
      </c>
      <c r="G43" s="4">
        <v>1000000032</v>
      </c>
      <c r="H43" s="4" t="s">
        <v>32</v>
      </c>
      <c r="I43" s="4">
        <f>IF(SalesData[[#This Row],[Status of Call]]="completed",1,0)</f>
        <v>1</v>
      </c>
      <c r="J43" s="4">
        <f>1</f>
        <v>1</v>
      </c>
      <c r="K43" s="4">
        <f>SalesData[[#This Row],[Completed calls]]/SalesData[[#This Row],[Total calls]]</f>
        <v>1</v>
      </c>
      <c r="L43" s="4">
        <f t="shared" si="1"/>
        <v>1</v>
      </c>
      <c r="M43" s="4">
        <f t="shared" si="0"/>
        <v>0</v>
      </c>
      <c r="N43" s="4">
        <f t="shared" si="2"/>
        <v>1</v>
      </c>
      <c r="O43" s="7">
        <v>46237</v>
      </c>
      <c r="P43" s="8">
        <v>46237.744398148148</v>
      </c>
      <c r="Q43" s="8">
        <v>46237.748854166668</v>
      </c>
      <c r="R43" s="4">
        <v>386</v>
      </c>
      <c r="S43" s="4">
        <f t="shared" si="3"/>
        <v>0</v>
      </c>
      <c r="T43" s="4">
        <v>2.4</v>
      </c>
      <c r="U43" s="4" t="s">
        <v>26</v>
      </c>
      <c r="V43" s="4" t="s">
        <v>26</v>
      </c>
      <c r="W43" s="6"/>
    </row>
    <row r="44" spans="1:23" x14ac:dyDescent="0.3">
      <c r="A44" s="3" t="s">
        <v>118</v>
      </c>
      <c r="B44" s="4" t="s">
        <v>21</v>
      </c>
      <c r="C44" s="5">
        <v>8099389567</v>
      </c>
      <c r="D44" s="5">
        <v>480629083</v>
      </c>
      <c r="E44" s="6" t="s">
        <v>40</v>
      </c>
      <c r="F44" s="4" t="s">
        <v>47</v>
      </c>
      <c r="G44" s="4">
        <v>1000000005</v>
      </c>
      <c r="H44" s="4" t="s">
        <v>49</v>
      </c>
      <c r="I44" s="4">
        <f>IF(SalesData[[#This Row],[Status of Call]]="completed",1,0)</f>
        <v>0</v>
      </c>
      <c r="J44" s="4">
        <f>1</f>
        <v>1</v>
      </c>
      <c r="K44" s="4">
        <f>SalesData[[#This Row],[Completed calls]]/SalesData[[#This Row],[Total calls]]</f>
        <v>0</v>
      </c>
      <c r="L44" s="4">
        <f t="shared" si="1"/>
        <v>1</v>
      </c>
      <c r="M44" s="4">
        <f t="shared" si="0"/>
        <v>0</v>
      </c>
      <c r="N44" s="4">
        <f t="shared" si="2"/>
        <v>0</v>
      </c>
      <c r="O44" s="7">
        <v>46237</v>
      </c>
      <c r="P44" s="8">
        <v>46237.744872685187</v>
      </c>
      <c r="Q44" s="8">
        <v>46237.745312500003</v>
      </c>
      <c r="R44" s="4">
        <v>39</v>
      </c>
      <c r="S44" s="4">
        <f t="shared" si="3"/>
        <v>1</v>
      </c>
      <c r="T44" s="4"/>
      <c r="U44" s="4" t="s">
        <v>109</v>
      </c>
      <c r="V44" s="4" t="s">
        <v>26</v>
      </c>
      <c r="W44" s="6"/>
    </row>
    <row r="45" spans="1:23" x14ac:dyDescent="0.3">
      <c r="A45" s="3" t="s">
        <v>119</v>
      </c>
      <c r="B45" s="4" t="s">
        <v>21</v>
      </c>
      <c r="C45" s="5">
        <v>8099389567</v>
      </c>
      <c r="D45" s="5">
        <v>853155791</v>
      </c>
      <c r="E45" s="6" t="s">
        <v>34</v>
      </c>
      <c r="F45" s="4" t="s">
        <v>107</v>
      </c>
      <c r="G45" s="4">
        <v>1000000035</v>
      </c>
      <c r="H45" s="4" t="s">
        <v>24</v>
      </c>
      <c r="I45" s="4">
        <f>IF(SalesData[[#This Row],[Status of Call]]="completed",1,0)</f>
        <v>0</v>
      </c>
      <c r="J45" s="4">
        <f>1</f>
        <v>1</v>
      </c>
      <c r="K45" s="4">
        <f>SalesData[[#This Row],[Completed calls]]/SalesData[[#This Row],[Total calls]]</f>
        <v>0</v>
      </c>
      <c r="L45" s="4">
        <f t="shared" si="1"/>
        <v>1</v>
      </c>
      <c r="M45" s="4">
        <f t="shared" si="0"/>
        <v>0</v>
      </c>
      <c r="N45" s="4">
        <f t="shared" si="2"/>
        <v>0</v>
      </c>
      <c r="O45" s="7">
        <v>46237</v>
      </c>
      <c r="P45" s="8">
        <v>46237.745578703703</v>
      </c>
      <c r="Q45" s="8">
        <v>46237.745613425926</v>
      </c>
      <c r="R45" s="4">
        <v>4</v>
      </c>
      <c r="S45" s="4">
        <f t="shared" si="3"/>
        <v>0</v>
      </c>
      <c r="T45" s="4"/>
      <c r="U45" s="4" t="s">
        <v>109</v>
      </c>
      <c r="V45" s="4" t="s">
        <v>26</v>
      </c>
      <c r="W45" s="6"/>
    </row>
    <row r="46" spans="1:23" x14ac:dyDescent="0.3">
      <c r="A46" s="3" t="s">
        <v>120</v>
      </c>
      <c r="B46" s="4" t="s">
        <v>21</v>
      </c>
      <c r="C46" s="5">
        <v>8099389567</v>
      </c>
      <c r="D46" s="5">
        <v>961525472</v>
      </c>
      <c r="E46" s="6" t="s">
        <v>121</v>
      </c>
      <c r="F46" s="4" t="s">
        <v>28</v>
      </c>
      <c r="G46" s="4">
        <v>1000000009</v>
      </c>
      <c r="H46" s="4" t="s">
        <v>32</v>
      </c>
      <c r="I46" s="4">
        <f>IF(SalesData[[#This Row],[Status of Call]]="completed",1,0)</f>
        <v>1</v>
      </c>
      <c r="J46" s="4">
        <f>1</f>
        <v>1</v>
      </c>
      <c r="K46" s="4">
        <f>SalesData[[#This Row],[Completed calls]]/SalesData[[#This Row],[Total calls]]</f>
        <v>1</v>
      </c>
      <c r="L46" s="4">
        <f t="shared" si="1"/>
        <v>1</v>
      </c>
      <c r="M46" s="4">
        <f t="shared" si="0"/>
        <v>0</v>
      </c>
      <c r="N46" s="4">
        <f t="shared" si="2"/>
        <v>1</v>
      </c>
      <c r="O46" s="7">
        <v>46237</v>
      </c>
      <c r="P46" s="8">
        <v>46237.745648148149</v>
      </c>
      <c r="Q46" s="8">
        <v>46237.746157407404</v>
      </c>
      <c r="R46" s="4">
        <v>46</v>
      </c>
      <c r="S46" s="4">
        <f t="shared" si="3"/>
        <v>0</v>
      </c>
      <c r="T46" s="4">
        <v>0.4</v>
      </c>
      <c r="U46" s="4" t="s">
        <v>109</v>
      </c>
      <c r="V46" s="4" t="s">
        <v>26</v>
      </c>
      <c r="W46" s="6"/>
    </row>
    <row r="47" spans="1:23" x14ac:dyDescent="0.3">
      <c r="A47" s="3" t="s">
        <v>122</v>
      </c>
      <c r="B47" s="4" t="s">
        <v>21</v>
      </c>
      <c r="C47" s="5">
        <v>8099389567</v>
      </c>
      <c r="D47" s="5">
        <v>259732326</v>
      </c>
      <c r="E47" s="6" t="s">
        <v>123</v>
      </c>
      <c r="F47" s="4" t="s">
        <v>124</v>
      </c>
      <c r="G47" s="4">
        <v>1000000031</v>
      </c>
      <c r="H47" s="4" t="s">
        <v>32</v>
      </c>
      <c r="I47" s="4">
        <f>IF(SalesData[[#This Row],[Status of Call]]="completed",1,0)</f>
        <v>1</v>
      </c>
      <c r="J47" s="4">
        <f>1</f>
        <v>1</v>
      </c>
      <c r="K47" s="4">
        <f>SalesData[[#This Row],[Completed calls]]/SalesData[[#This Row],[Total calls]]</f>
        <v>1</v>
      </c>
      <c r="L47" s="4">
        <f t="shared" si="1"/>
        <v>1</v>
      </c>
      <c r="M47" s="4">
        <f t="shared" si="0"/>
        <v>0</v>
      </c>
      <c r="N47" s="4">
        <f t="shared" si="2"/>
        <v>1</v>
      </c>
      <c r="O47" s="7">
        <v>46237</v>
      </c>
      <c r="P47" s="8">
        <v>46237.746388888889</v>
      </c>
      <c r="Q47" s="8">
        <v>46237.747175925928</v>
      </c>
      <c r="R47" s="4">
        <v>69</v>
      </c>
      <c r="S47" s="4">
        <f t="shared" si="3"/>
        <v>0</v>
      </c>
      <c r="T47" s="4">
        <v>0.4</v>
      </c>
      <c r="U47" s="4" t="s">
        <v>109</v>
      </c>
      <c r="V47" s="4" t="s">
        <v>26</v>
      </c>
      <c r="W47" s="6"/>
    </row>
    <row r="48" spans="1:23" x14ac:dyDescent="0.3">
      <c r="A48" s="3" t="s">
        <v>125</v>
      </c>
      <c r="B48" s="4" t="s">
        <v>21</v>
      </c>
      <c r="C48" s="5">
        <v>8099389567</v>
      </c>
      <c r="D48" s="5">
        <v>215983531</v>
      </c>
      <c r="E48" s="6" t="s">
        <v>106</v>
      </c>
      <c r="F48" s="4" t="s">
        <v>54</v>
      </c>
      <c r="G48" s="4">
        <v>1000000011</v>
      </c>
      <c r="H48" s="4" t="s">
        <v>32</v>
      </c>
      <c r="I48" s="4">
        <f>IF(SalesData[[#This Row],[Status of Call]]="completed",1,0)</f>
        <v>1</v>
      </c>
      <c r="J48" s="4">
        <f>1</f>
        <v>1</v>
      </c>
      <c r="K48" s="4">
        <f>SalesData[[#This Row],[Completed calls]]/SalesData[[#This Row],[Total calls]]</f>
        <v>1</v>
      </c>
      <c r="L48" s="4">
        <f t="shared" si="1"/>
        <v>1</v>
      </c>
      <c r="M48" s="4">
        <f t="shared" si="0"/>
        <v>0</v>
      </c>
      <c r="N48" s="4">
        <f t="shared" si="2"/>
        <v>1</v>
      </c>
      <c r="O48" s="7">
        <v>46237</v>
      </c>
      <c r="P48" s="8">
        <v>46237.747187499997</v>
      </c>
      <c r="Q48" s="8">
        <v>46237.748252314814</v>
      </c>
      <c r="R48" s="4">
        <v>93</v>
      </c>
      <c r="S48" s="4">
        <f t="shared" si="3"/>
        <v>0</v>
      </c>
      <c r="T48" s="4">
        <v>0.4</v>
      </c>
      <c r="U48" s="4" t="s">
        <v>109</v>
      </c>
      <c r="V48" s="4" t="s">
        <v>26</v>
      </c>
      <c r="W48" s="6"/>
    </row>
    <row r="49" spans="1:23" x14ac:dyDescent="0.3">
      <c r="A49" s="3" t="s">
        <v>126</v>
      </c>
      <c r="B49" s="4" t="s">
        <v>21</v>
      </c>
      <c r="C49" s="5">
        <v>8099389567</v>
      </c>
      <c r="D49" s="5">
        <v>775853175</v>
      </c>
      <c r="E49" s="6" t="s">
        <v>127</v>
      </c>
      <c r="F49" s="4" t="s">
        <v>93</v>
      </c>
      <c r="G49" s="4">
        <v>1000000039</v>
      </c>
      <c r="H49" s="4" t="s">
        <v>32</v>
      </c>
      <c r="I49" s="4">
        <f>IF(SalesData[[#This Row],[Status of Call]]="completed",1,0)</f>
        <v>1</v>
      </c>
      <c r="J49" s="4">
        <f>1</f>
        <v>1</v>
      </c>
      <c r="K49" s="4">
        <f>SalesData[[#This Row],[Completed calls]]/SalesData[[#This Row],[Total calls]]</f>
        <v>1</v>
      </c>
      <c r="L49" s="4">
        <f t="shared" si="1"/>
        <v>1</v>
      </c>
      <c r="M49" s="4">
        <f t="shared" si="0"/>
        <v>0</v>
      </c>
      <c r="N49" s="4">
        <f t="shared" si="2"/>
        <v>1</v>
      </c>
      <c r="O49" s="7">
        <v>46237</v>
      </c>
      <c r="P49" s="8">
        <v>46237.748495370368</v>
      </c>
      <c r="Q49" s="8">
        <v>46237.754143518519</v>
      </c>
      <c r="R49" s="4">
        <v>488</v>
      </c>
      <c r="S49" s="4">
        <f t="shared" si="3"/>
        <v>0</v>
      </c>
      <c r="T49" s="4">
        <v>3.2</v>
      </c>
      <c r="U49" s="4" t="s">
        <v>26</v>
      </c>
      <c r="V49" s="4" t="s">
        <v>26</v>
      </c>
      <c r="W49" s="6"/>
    </row>
    <row r="50" spans="1:23" x14ac:dyDescent="0.3">
      <c r="A50" s="3" t="s">
        <v>128</v>
      </c>
      <c r="B50" s="5" t="s">
        <v>21</v>
      </c>
      <c r="C50" s="5">
        <v>8099389567</v>
      </c>
      <c r="D50" s="5">
        <v>726803747</v>
      </c>
      <c r="E50" s="6" t="s">
        <v>30</v>
      </c>
      <c r="F50" s="5" t="s">
        <v>107</v>
      </c>
      <c r="G50" s="5">
        <v>1000000035</v>
      </c>
      <c r="H50" s="5" t="s">
        <v>32</v>
      </c>
      <c r="I50" s="5">
        <f>IF(SalesData[[#This Row],[Status of Call]]="completed",1,0)</f>
        <v>1</v>
      </c>
      <c r="J50" s="5">
        <f>1</f>
        <v>1</v>
      </c>
      <c r="K50" s="5">
        <f>SalesData[[#This Row],[Completed calls]]/SalesData[[#This Row],[Total calls]]</f>
        <v>1</v>
      </c>
      <c r="L50" s="4">
        <f t="shared" si="1"/>
        <v>1</v>
      </c>
      <c r="M50" s="4">
        <f t="shared" si="0"/>
        <v>0</v>
      </c>
      <c r="N50" s="4">
        <f t="shared" si="2"/>
        <v>1</v>
      </c>
      <c r="O50" s="7">
        <v>46236</v>
      </c>
      <c r="P50" s="8">
        <v>46236.392361111109</v>
      </c>
      <c r="Q50" s="8">
        <v>46236.400127314817</v>
      </c>
      <c r="R50" s="5">
        <v>672</v>
      </c>
      <c r="S50" s="4">
        <f t="shared" si="3"/>
        <v>0</v>
      </c>
      <c r="T50" s="5">
        <v>4.4000000000000004</v>
      </c>
      <c r="U50" s="5" t="s">
        <v>26</v>
      </c>
      <c r="V50" s="5" t="s">
        <v>26</v>
      </c>
      <c r="W50" s="6"/>
    </row>
    <row r="51" spans="1:23" x14ac:dyDescent="0.3">
      <c r="A51" s="3" t="s">
        <v>129</v>
      </c>
      <c r="B51" s="6" t="s">
        <v>21</v>
      </c>
      <c r="C51" s="5">
        <v>8099389567</v>
      </c>
      <c r="D51" s="5">
        <v>187967563</v>
      </c>
      <c r="E51" s="6" t="s">
        <v>106</v>
      </c>
      <c r="F51" s="6" t="s">
        <v>95</v>
      </c>
      <c r="G51" s="6">
        <v>1000000013</v>
      </c>
      <c r="H51" s="6" t="s">
        <v>32</v>
      </c>
      <c r="I51" s="6">
        <f>IF(SalesData[[#This Row],[Status of Call]]="completed",1,0)</f>
        <v>1</v>
      </c>
      <c r="J51" s="6">
        <f>1</f>
        <v>1</v>
      </c>
      <c r="K51" s="6">
        <f>SalesData[[#This Row],[Completed calls]]/SalesData[[#This Row],[Total calls]]</f>
        <v>1</v>
      </c>
      <c r="L51" s="4">
        <f t="shared" si="1"/>
        <v>1</v>
      </c>
      <c r="M51" s="4">
        <f t="shared" si="0"/>
        <v>0</v>
      </c>
      <c r="N51" s="4">
        <f t="shared" si="2"/>
        <v>1</v>
      </c>
      <c r="O51" s="7">
        <v>46237</v>
      </c>
      <c r="P51" s="9">
        <v>46237.753530092596</v>
      </c>
      <c r="Q51" s="9">
        <v>46237.754166666666</v>
      </c>
      <c r="R51" s="6">
        <v>56</v>
      </c>
      <c r="S51" s="4">
        <f t="shared" si="3"/>
        <v>0</v>
      </c>
      <c r="T51" s="6">
        <v>0.4</v>
      </c>
      <c r="U51" s="6" t="s">
        <v>109</v>
      </c>
      <c r="V51" s="6" t="s">
        <v>26</v>
      </c>
      <c r="W51" s="6"/>
    </row>
    <row r="52" spans="1:23" x14ac:dyDescent="0.3">
      <c r="A52" s="3" t="s">
        <v>130</v>
      </c>
      <c r="B52" s="6" t="s">
        <v>21</v>
      </c>
      <c r="C52" s="5">
        <v>8099389567</v>
      </c>
      <c r="D52" s="5">
        <v>557621137</v>
      </c>
      <c r="E52" s="6" t="s">
        <v>66</v>
      </c>
      <c r="F52" s="6" t="s">
        <v>90</v>
      </c>
      <c r="G52" s="6">
        <v>1000000020</v>
      </c>
      <c r="H52" s="6" t="s">
        <v>32</v>
      </c>
      <c r="I52" s="6">
        <f>IF(SalesData[[#This Row],[Status of Call]]="completed",1,0)</f>
        <v>1</v>
      </c>
      <c r="J52" s="6">
        <f>1</f>
        <v>1</v>
      </c>
      <c r="K52" s="6">
        <f>SalesData[[#This Row],[Completed calls]]/SalesData[[#This Row],[Total calls]]</f>
        <v>1</v>
      </c>
      <c r="L52" s="4">
        <f t="shared" si="1"/>
        <v>1</v>
      </c>
      <c r="M52" s="4">
        <f t="shared" si="0"/>
        <v>0</v>
      </c>
      <c r="N52" s="4">
        <f t="shared" si="2"/>
        <v>1</v>
      </c>
      <c r="O52" s="7">
        <v>46237</v>
      </c>
      <c r="P52" s="9">
        <v>46237.754282407404</v>
      </c>
      <c r="Q52" s="9">
        <v>46237.754826388889</v>
      </c>
      <c r="R52" s="6">
        <v>47</v>
      </c>
      <c r="S52" s="4">
        <f t="shared" si="3"/>
        <v>0</v>
      </c>
      <c r="T52" s="6">
        <v>0.4</v>
      </c>
      <c r="U52" s="6" t="s">
        <v>109</v>
      </c>
      <c r="V52" s="6" t="s">
        <v>26</v>
      </c>
      <c r="W52" s="6"/>
    </row>
    <row r="53" spans="1:23" x14ac:dyDescent="0.3">
      <c r="A53" s="3" t="s">
        <v>131</v>
      </c>
      <c r="B53" s="6" t="s">
        <v>21</v>
      </c>
      <c r="C53" s="5">
        <v>8099389567</v>
      </c>
      <c r="D53" s="5">
        <v>424606547</v>
      </c>
      <c r="E53" s="6" t="s">
        <v>121</v>
      </c>
      <c r="F53" s="6" t="s">
        <v>132</v>
      </c>
      <c r="G53" s="6">
        <v>1000000026</v>
      </c>
      <c r="H53" s="6" t="s">
        <v>32</v>
      </c>
      <c r="I53" s="6">
        <f>IF(SalesData[[#This Row],[Status of Call]]="completed",1,0)</f>
        <v>1</v>
      </c>
      <c r="J53" s="6">
        <f>1</f>
        <v>1</v>
      </c>
      <c r="K53" s="6">
        <f>SalesData[[#This Row],[Completed calls]]/SalesData[[#This Row],[Total calls]]</f>
        <v>1</v>
      </c>
      <c r="L53" s="4">
        <f t="shared" si="1"/>
        <v>1</v>
      </c>
      <c r="M53" s="4">
        <f t="shared" si="0"/>
        <v>0</v>
      </c>
      <c r="N53" s="4">
        <f t="shared" si="2"/>
        <v>1</v>
      </c>
      <c r="O53" s="7">
        <v>46237</v>
      </c>
      <c r="P53" s="9">
        <v>46237.754837962966</v>
      </c>
      <c r="Q53" s="9">
        <v>46237.755358796298</v>
      </c>
      <c r="R53" s="6">
        <v>46</v>
      </c>
      <c r="S53" s="4">
        <f t="shared" si="3"/>
        <v>0</v>
      </c>
      <c r="T53" s="6">
        <v>0.4</v>
      </c>
      <c r="U53" s="6" t="s">
        <v>109</v>
      </c>
      <c r="V53" s="6" t="s">
        <v>26</v>
      </c>
      <c r="W53" s="6"/>
    </row>
    <row r="54" spans="1:23" x14ac:dyDescent="0.3">
      <c r="A54" s="3" t="s">
        <v>133</v>
      </c>
      <c r="B54" s="6" t="s">
        <v>21</v>
      </c>
      <c r="C54" s="5">
        <v>8099389567</v>
      </c>
      <c r="D54" s="5">
        <v>103960291</v>
      </c>
      <c r="E54" s="6" t="s">
        <v>30</v>
      </c>
      <c r="F54" s="6" t="s">
        <v>102</v>
      </c>
      <c r="G54" s="6">
        <v>1000000024</v>
      </c>
      <c r="H54" s="6" t="s">
        <v>32</v>
      </c>
      <c r="I54" s="6">
        <f>IF(SalesData[[#This Row],[Status of Call]]="completed",1,0)</f>
        <v>1</v>
      </c>
      <c r="J54" s="6">
        <f>1</f>
        <v>1</v>
      </c>
      <c r="K54" s="6">
        <f>SalesData[[#This Row],[Completed calls]]/SalesData[[#This Row],[Total calls]]</f>
        <v>1</v>
      </c>
      <c r="L54" s="4">
        <f t="shared" si="1"/>
        <v>1</v>
      </c>
      <c r="M54" s="4">
        <f t="shared" si="0"/>
        <v>0</v>
      </c>
      <c r="N54" s="4">
        <f t="shared" si="2"/>
        <v>1</v>
      </c>
      <c r="O54" s="7">
        <v>46237</v>
      </c>
      <c r="P54" s="9">
        <v>46237.755023148151</v>
      </c>
      <c r="Q54" s="9">
        <v>46237.760995370372</v>
      </c>
      <c r="R54" s="6">
        <v>517</v>
      </c>
      <c r="S54" s="4">
        <f t="shared" si="3"/>
        <v>0</v>
      </c>
      <c r="T54" s="6">
        <v>3.6</v>
      </c>
      <c r="U54" s="6" t="s">
        <v>26</v>
      </c>
      <c r="V54" s="6" t="s">
        <v>26</v>
      </c>
      <c r="W54" s="6"/>
    </row>
    <row r="55" spans="1:23" x14ac:dyDescent="0.3">
      <c r="A55" s="3" t="s">
        <v>134</v>
      </c>
      <c r="B55" s="6" t="s">
        <v>21</v>
      </c>
      <c r="C55" s="5">
        <v>8099389567</v>
      </c>
      <c r="D55" s="5">
        <v>461637002</v>
      </c>
      <c r="E55" s="6" t="s">
        <v>48</v>
      </c>
      <c r="F55" s="6" t="s">
        <v>135</v>
      </c>
      <c r="G55" s="6">
        <v>1000000029</v>
      </c>
      <c r="H55" s="6" t="s">
        <v>49</v>
      </c>
      <c r="I55" s="6">
        <f>IF(SalesData[[#This Row],[Status of Call]]="completed",1,0)</f>
        <v>0</v>
      </c>
      <c r="J55" s="6">
        <f>1</f>
        <v>1</v>
      </c>
      <c r="K55" s="6">
        <f>SalesData[[#This Row],[Completed calls]]/SalesData[[#This Row],[Total calls]]</f>
        <v>0</v>
      </c>
      <c r="L55" s="4">
        <f t="shared" si="1"/>
        <v>1</v>
      </c>
      <c r="M55" s="4">
        <f t="shared" si="0"/>
        <v>0</v>
      </c>
      <c r="N55" s="4">
        <f t="shared" si="2"/>
        <v>0</v>
      </c>
      <c r="O55" s="7">
        <v>46237</v>
      </c>
      <c r="P55" s="9">
        <v>46237.755671296298</v>
      </c>
      <c r="Q55" s="9">
        <v>46237.755983796298</v>
      </c>
      <c r="R55" s="6">
        <v>29</v>
      </c>
      <c r="S55" s="4">
        <f t="shared" si="3"/>
        <v>1</v>
      </c>
      <c r="U55" s="6" t="s">
        <v>109</v>
      </c>
      <c r="V55" s="6" t="s">
        <v>26</v>
      </c>
      <c r="W55" s="6"/>
    </row>
    <row r="56" spans="1:23" x14ac:dyDescent="0.3">
      <c r="A56" s="3" t="s">
        <v>136</v>
      </c>
      <c r="B56" s="6" t="s">
        <v>21</v>
      </c>
      <c r="C56" s="5">
        <v>8099389567</v>
      </c>
      <c r="D56" s="5">
        <v>913623755</v>
      </c>
      <c r="E56" s="6" t="s">
        <v>137</v>
      </c>
      <c r="F56" s="6" t="s">
        <v>56</v>
      </c>
      <c r="G56" s="6">
        <v>1000000034</v>
      </c>
      <c r="H56" s="6" t="s">
        <v>32</v>
      </c>
      <c r="I56" s="6">
        <f>IF(SalesData[[#This Row],[Status of Call]]="completed",1,0)</f>
        <v>1</v>
      </c>
      <c r="J56" s="6">
        <f>1</f>
        <v>1</v>
      </c>
      <c r="K56" s="6">
        <f>SalesData[[#This Row],[Completed calls]]/SalesData[[#This Row],[Total calls]]</f>
        <v>1</v>
      </c>
      <c r="L56" s="4">
        <f t="shared" si="1"/>
        <v>1</v>
      </c>
      <c r="M56" s="4">
        <f t="shared" si="0"/>
        <v>0</v>
      </c>
      <c r="N56" s="4">
        <f t="shared" si="2"/>
        <v>1</v>
      </c>
      <c r="O56" s="7">
        <v>46237</v>
      </c>
      <c r="P56" s="9">
        <v>46237.759513888886</v>
      </c>
      <c r="Q56" s="9">
        <v>46237.765844907408</v>
      </c>
      <c r="R56" s="6">
        <v>548</v>
      </c>
      <c r="S56" s="4">
        <f t="shared" si="3"/>
        <v>0</v>
      </c>
      <c r="T56" s="6">
        <v>3.6</v>
      </c>
      <c r="U56" s="6" t="s">
        <v>26</v>
      </c>
      <c r="V56" s="6" t="s">
        <v>26</v>
      </c>
      <c r="W56" s="6"/>
    </row>
    <row r="57" spans="1:23" x14ac:dyDescent="0.3">
      <c r="A57" s="3" t="s">
        <v>138</v>
      </c>
      <c r="B57" s="6" t="s">
        <v>21</v>
      </c>
      <c r="C57" s="5">
        <v>8099389567</v>
      </c>
      <c r="D57" s="5">
        <v>885279822</v>
      </c>
      <c r="E57" s="6" t="s">
        <v>37</v>
      </c>
      <c r="F57" s="6" t="s">
        <v>135</v>
      </c>
      <c r="G57" s="6">
        <v>1000000029</v>
      </c>
      <c r="H57" s="6" t="s">
        <v>32</v>
      </c>
      <c r="I57" s="6">
        <f>IF(SalesData[[#This Row],[Status of Call]]="completed",1,0)</f>
        <v>1</v>
      </c>
      <c r="J57" s="6">
        <f>1</f>
        <v>1</v>
      </c>
      <c r="K57" s="6">
        <f>SalesData[[#This Row],[Completed calls]]/SalesData[[#This Row],[Total calls]]</f>
        <v>1</v>
      </c>
      <c r="L57" s="4">
        <f t="shared" si="1"/>
        <v>1</v>
      </c>
      <c r="M57" s="4">
        <f t="shared" si="0"/>
        <v>0</v>
      </c>
      <c r="N57" s="4">
        <f t="shared" si="2"/>
        <v>1</v>
      </c>
      <c r="O57" s="7">
        <v>46237</v>
      </c>
      <c r="P57" s="9">
        <v>46237.768113425926</v>
      </c>
      <c r="Q57" s="9">
        <v>46237.768761574072</v>
      </c>
      <c r="R57" s="6">
        <v>57</v>
      </c>
      <c r="S57" s="4">
        <f t="shared" si="3"/>
        <v>0</v>
      </c>
      <c r="T57" s="6">
        <v>0.4</v>
      </c>
      <c r="U57" s="6" t="s">
        <v>109</v>
      </c>
      <c r="V57" s="6" t="s">
        <v>26</v>
      </c>
      <c r="W57" s="6"/>
    </row>
    <row r="58" spans="1:23" x14ac:dyDescent="0.3">
      <c r="A58" s="3" t="s">
        <v>139</v>
      </c>
      <c r="B58" s="10" t="s">
        <v>21</v>
      </c>
      <c r="C58" s="5">
        <v>8099389567</v>
      </c>
      <c r="D58" s="5">
        <v>751414407</v>
      </c>
      <c r="E58" s="6" t="s">
        <v>140</v>
      </c>
      <c r="F58" s="10" t="s">
        <v>41</v>
      </c>
      <c r="G58" s="10">
        <v>1000000006</v>
      </c>
      <c r="H58" s="10" t="s">
        <v>32</v>
      </c>
      <c r="I58" s="10">
        <f>IF(SalesData[[#This Row],[Status of Call]]="completed",1,0)</f>
        <v>1</v>
      </c>
      <c r="J58" s="10">
        <f>1</f>
        <v>1</v>
      </c>
      <c r="K58" s="10">
        <f>SalesData[[#This Row],[Completed calls]]/SalesData[[#This Row],[Total calls]]</f>
        <v>1</v>
      </c>
      <c r="L58" s="4">
        <f t="shared" si="1"/>
        <v>1</v>
      </c>
      <c r="M58" s="4">
        <f t="shared" si="0"/>
        <v>0</v>
      </c>
      <c r="N58" s="4">
        <f t="shared" si="2"/>
        <v>1</v>
      </c>
      <c r="O58" s="7">
        <v>46236</v>
      </c>
      <c r="P58" s="9">
        <v>46236.42114583333</v>
      </c>
      <c r="Q58" s="9">
        <v>46236.424814814818</v>
      </c>
      <c r="R58" s="10">
        <v>318</v>
      </c>
      <c r="S58" s="4">
        <f t="shared" si="3"/>
        <v>0</v>
      </c>
      <c r="T58" s="10">
        <v>2</v>
      </c>
      <c r="U58" s="10" t="s">
        <v>26</v>
      </c>
      <c r="V58" s="10" t="s">
        <v>26</v>
      </c>
      <c r="W58" s="6"/>
    </row>
    <row r="59" spans="1:23" x14ac:dyDescent="0.3">
      <c r="A59" s="3" t="s">
        <v>141</v>
      </c>
      <c r="B59" s="6" t="s">
        <v>21</v>
      </c>
      <c r="C59" s="5">
        <v>8099389567</v>
      </c>
      <c r="D59" s="5">
        <v>969583290</v>
      </c>
      <c r="E59" s="6" t="s">
        <v>140</v>
      </c>
      <c r="F59" s="6" t="s">
        <v>48</v>
      </c>
      <c r="G59" s="6">
        <v>1000000008</v>
      </c>
      <c r="H59" s="6" t="s">
        <v>32</v>
      </c>
      <c r="I59" s="6">
        <f>IF(SalesData[[#This Row],[Status of Call]]="completed",1,0)</f>
        <v>1</v>
      </c>
      <c r="J59" s="6">
        <f>1</f>
        <v>1</v>
      </c>
      <c r="K59" s="6">
        <f>SalesData[[#This Row],[Completed calls]]/SalesData[[#This Row],[Total calls]]</f>
        <v>1</v>
      </c>
      <c r="L59" s="4">
        <f t="shared" si="1"/>
        <v>1</v>
      </c>
      <c r="M59" s="4">
        <f t="shared" si="0"/>
        <v>0</v>
      </c>
      <c r="N59" s="4">
        <f t="shared" si="2"/>
        <v>1</v>
      </c>
      <c r="O59" s="7">
        <v>46237</v>
      </c>
      <c r="P59" s="9">
        <v>46237.772847222222</v>
      </c>
      <c r="Q59" s="9">
        <v>46237.77375</v>
      </c>
      <c r="R59" s="6">
        <v>79</v>
      </c>
      <c r="S59" s="4">
        <f t="shared" si="3"/>
        <v>0</v>
      </c>
      <c r="T59" s="6">
        <v>0.4</v>
      </c>
      <c r="U59" s="6" t="s">
        <v>142</v>
      </c>
      <c r="V59" s="6" t="s">
        <v>26</v>
      </c>
      <c r="W59" s="6"/>
    </row>
    <row r="60" spans="1:23" x14ac:dyDescent="0.3">
      <c r="A60" s="3" t="s">
        <v>143</v>
      </c>
      <c r="B60" s="6" t="s">
        <v>21</v>
      </c>
      <c r="C60" s="5">
        <v>8099389567</v>
      </c>
      <c r="D60" s="5">
        <v>588209262</v>
      </c>
      <c r="E60" s="6" t="s">
        <v>68</v>
      </c>
      <c r="F60" s="6" t="s">
        <v>31</v>
      </c>
      <c r="G60" s="6">
        <v>1000000016</v>
      </c>
      <c r="H60" s="6" t="s">
        <v>24</v>
      </c>
      <c r="I60" s="6">
        <f>IF(SalesData[[#This Row],[Status of Call]]="completed",1,0)</f>
        <v>0</v>
      </c>
      <c r="J60" s="6">
        <f>1</f>
        <v>1</v>
      </c>
      <c r="K60" s="6">
        <f>SalesData[[#This Row],[Completed calls]]/SalesData[[#This Row],[Total calls]]</f>
        <v>0</v>
      </c>
      <c r="L60" s="4">
        <f t="shared" si="1"/>
        <v>1</v>
      </c>
      <c r="M60" s="4">
        <f t="shared" si="0"/>
        <v>0</v>
      </c>
      <c r="N60" s="4">
        <f t="shared" si="2"/>
        <v>0</v>
      </c>
      <c r="O60" s="7">
        <v>46237</v>
      </c>
      <c r="P60" s="9">
        <v>46237.772905092592</v>
      </c>
      <c r="Q60" s="9">
        <v>46237.77306712963</v>
      </c>
      <c r="R60" s="6">
        <v>15</v>
      </c>
      <c r="S60" s="4">
        <f t="shared" si="3"/>
        <v>0</v>
      </c>
      <c r="U60" s="6" t="s">
        <v>109</v>
      </c>
      <c r="V60" s="6" t="s">
        <v>26</v>
      </c>
      <c r="W60" s="6"/>
    </row>
    <row r="61" spans="1:23" x14ac:dyDescent="0.3">
      <c r="A61" s="3" t="s">
        <v>144</v>
      </c>
      <c r="B61" s="6" t="s">
        <v>21</v>
      </c>
      <c r="C61" s="5">
        <v>8099389567</v>
      </c>
      <c r="D61" s="5">
        <v>91868821</v>
      </c>
      <c r="E61" s="6" t="s">
        <v>145</v>
      </c>
      <c r="F61" s="6" t="s">
        <v>98</v>
      </c>
      <c r="G61" s="6">
        <v>1000000015</v>
      </c>
      <c r="H61" s="6" t="s">
        <v>49</v>
      </c>
      <c r="I61" s="6">
        <f>IF(SalesData[[#This Row],[Status of Call]]="completed",1,0)</f>
        <v>0</v>
      </c>
      <c r="J61" s="6">
        <f>1</f>
        <v>1</v>
      </c>
      <c r="K61" s="6">
        <f>SalesData[[#This Row],[Completed calls]]/SalesData[[#This Row],[Total calls]]</f>
        <v>0</v>
      </c>
      <c r="L61" s="4">
        <f t="shared" si="1"/>
        <v>1</v>
      </c>
      <c r="M61" s="4">
        <f t="shared" si="0"/>
        <v>0</v>
      </c>
      <c r="N61" s="4">
        <f t="shared" si="2"/>
        <v>0</v>
      </c>
      <c r="O61" s="7">
        <v>46237</v>
      </c>
      <c r="P61" s="9">
        <v>46237.780451388891</v>
      </c>
      <c r="Q61" s="9">
        <v>46237.780775462961</v>
      </c>
      <c r="R61" s="6">
        <v>29</v>
      </c>
      <c r="S61" s="4">
        <f t="shared" si="3"/>
        <v>1</v>
      </c>
      <c r="U61" s="6" t="s">
        <v>26</v>
      </c>
      <c r="V61" s="6" t="s">
        <v>26</v>
      </c>
      <c r="W61" s="6"/>
    </row>
    <row r="62" spans="1:23" x14ac:dyDescent="0.3">
      <c r="A62" s="3" t="s">
        <v>146</v>
      </c>
      <c r="B62" s="6" t="s">
        <v>21</v>
      </c>
      <c r="C62" s="5">
        <v>8099389567</v>
      </c>
      <c r="D62" s="5">
        <v>438896307</v>
      </c>
      <c r="E62" s="6" t="s">
        <v>51</v>
      </c>
      <c r="F62" s="6" t="s">
        <v>47</v>
      </c>
      <c r="G62" s="6">
        <v>1000000005</v>
      </c>
      <c r="H62" s="6" t="s">
        <v>32</v>
      </c>
      <c r="I62" s="6">
        <f>IF(SalesData[[#This Row],[Status of Call]]="completed",1,0)</f>
        <v>1</v>
      </c>
      <c r="J62" s="6">
        <f>1</f>
        <v>1</v>
      </c>
      <c r="K62" s="6">
        <f>SalesData[[#This Row],[Completed calls]]/SalesData[[#This Row],[Total calls]]</f>
        <v>1</v>
      </c>
      <c r="L62" s="4">
        <f t="shared" si="1"/>
        <v>1</v>
      </c>
      <c r="M62" s="4">
        <f t="shared" si="0"/>
        <v>0</v>
      </c>
      <c r="N62" s="4">
        <f t="shared" si="2"/>
        <v>1</v>
      </c>
      <c r="O62" s="7">
        <v>46237</v>
      </c>
      <c r="P62" s="9">
        <v>46237.780740740738</v>
      </c>
      <c r="Q62" s="9">
        <v>46237.781655092593</v>
      </c>
      <c r="R62" s="6">
        <v>80</v>
      </c>
      <c r="S62" s="4">
        <f t="shared" si="3"/>
        <v>0</v>
      </c>
      <c r="T62" s="6">
        <v>0.4</v>
      </c>
      <c r="U62" s="6" t="s">
        <v>109</v>
      </c>
      <c r="V62" s="6" t="s">
        <v>26</v>
      </c>
      <c r="W62" s="6"/>
    </row>
    <row r="63" spans="1:23" x14ac:dyDescent="0.3">
      <c r="A63" s="3" t="s">
        <v>147</v>
      </c>
      <c r="B63" s="6" t="s">
        <v>21</v>
      </c>
      <c r="C63" s="5">
        <v>8099389567</v>
      </c>
      <c r="D63" s="5">
        <v>420981929</v>
      </c>
      <c r="E63" s="6" t="s">
        <v>66</v>
      </c>
      <c r="F63" s="6" t="s">
        <v>71</v>
      </c>
      <c r="G63" s="6">
        <v>1000000022</v>
      </c>
      <c r="H63" s="6" t="s">
        <v>24</v>
      </c>
      <c r="I63" s="6">
        <f>IF(SalesData[[#This Row],[Status of Call]]="completed",1,0)</f>
        <v>0</v>
      </c>
      <c r="J63" s="6">
        <f>1</f>
        <v>1</v>
      </c>
      <c r="K63" s="6">
        <f>SalesData[[#This Row],[Completed calls]]/SalesData[[#This Row],[Total calls]]</f>
        <v>0</v>
      </c>
      <c r="L63" s="4">
        <f t="shared" si="1"/>
        <v>1</v>
      </c>
      <c r="M63" s="4">
        <f t="shared" si="0"/>
        <v>0</v>
      </c>
      <c r="N63" s="4">
        <f t="shared" si="2"/>
        <v>0</v>
      </c>
      <c r="O63" s="7">
        <v>46237</v>
      </c>
      <c r="P63" s="9">
        <v>46237.784837962965</v>
      </c>
      <c r="Q63" s="9">
        <v>46237.785034722219</v>
      </c>
      <c r="R63" s="6">
        <v>17</v>
      </c>
      <c r="S63" s="4">
        <f t="shared" si="3"/>
        <v>0</v>
      </c>
      <c r="U63" s="6" t="s">
        <v>26</v>
      </c>
      <c r="V63" s="6" t="s">
        <v>26</v>
      </c>
      <c r="W63" s="6"/>
    </row>
    <row r="64" spans="1:23" x14ac:dyDescent="0.3">
      <c r="A64" s="3" t="s">
        <v>148</v>
      </c>
      <c r="B64" s="6" t="s">
        <v>21</v>
      </c>
      <c r="C64" s="5">
        <v>8099389567</v>
      </c>
      <c r="D64" s="5">
        <v>113927933</v>
      </c>
      <c r="E64" s="6" t="s">
        <v>70</v>
      </c>
      <c r="F64" s="6" t="s">
        <v>70</v>
      </c>
      <c r="G64" s="6">
        <v>1000000002</v>
      </c>
      <c r="H64" s="6" t="s">
        <v>24</v>
      </c>
      <c r="I64" s="6">
        <f>IF(SalesData[[#This Row],[Status of Call]]="completed",1,0)</f>
        <v>0</v>
      </c>
      <c r="J64" s="6">
        <f>1</f>
        <v>1</v>
      </c>
      <c r="K64" s="6">
        <f>SalesData[[#This Row],[Completed calls]]/SalesData[[#This Row],[Total calls]]</f>
        <v>0</v>
      </c>
      <c r="L64" s="4">
        <f t="shared" si="1"/>
        <v>1</v>
      </c>
      <c r="M64" s="4">
        <f t="shared" si="0"/>
        <v>0</v>
      </c>
      <c r="N64" s="4">
        <f t="shared" si="2"/>
        <v>0</v>
      </c>
      <c r="O64" s="7">
        <v>46237</v>
      </c>
      <c r="P64" s="9">
        <v>46237.804930555554</v>
      </c>
      <c r="Q64" s="9">
        <v>46237.805011574077</v>
      </c>
      <c r="R64" s="6">
        <v>7</v>
      </c>
      <c r="S64" s="4">
        <f t="shared" si="3"/>
        <v>0</v>
      </c>
      <c r="U64" s="6" t="s">
        <v>26</v>
      </c>
      <c r="V64" s="6" t="s">
        <v>26</v>
      </c>
      <c r="W64" s="6"/>
    </row>
    <row r="65" spans="1:23" x14ac:dyDescent="0.3">
      <c r="A65" s="3" t="s">
        <v>149</v>
      </c>
      <c r="B65" s="6" t="s">
        <v>21</v>
      </c>
      <c r="C65" s="5">
        <v>8099389567</v>
      </c>
      <c r="D65" s="5">
        <v>147270406</v>
      </c>
      <c r="E65" s="6" t="s">
        <v>77</v>
      </c>
      <c r="F65" s="6" t="s">
        <v>150</v>
      </c>
      <c r="G65" s="6">
        <v>1000000038</v>
      </c>
      <c r="H65" s="6" t="s">
        <v>49</v>
      </c>
      <c r="I65" s="6">
        <f>IF(SalesData[[#This Row],[Status of Call]]="completed",1,0)</f>
        <v>0</v>
      </c>
      <c r="J65" s="6">
        <f>1</f>
        <v>1</v>
      </c>
      <c r="K65" s="6">
        <f>SalesData[[#This Row],[Completed calls]]/SalesData[[#This Row],[Total calls]]</f>
        <v>0</v>
      </c>
      <c r="L65" s="4">
        <f t="shared" si="1"/>
        <v>1</v>
      </c>
      <c r="M65" s="4">
        <f t="shared" si="0"/>
        <v>0</v>
      </c>
      <c r="N65" s="4">
        <f t="shared" si="2"/>
        <v>0</v>
      </c>
      <c r="O65" s="7">
        <v>46237</v>
      </c>
      <c r="P65" s="9">
        <v>46237.810486111113</v>
      </c>
      <c r="Q65" s="9">
        <v>46237.811388888891</v>
      </c>
      <c r="R65" s="6">
        <v>79</v>
      </c>
      <c r="S65" s="4">
        <f t="shared" si="3"/>
        <v>1</v>
      </c>
      <c r="U65" s="6" t="s">
        <v>109</v>
      </c>
      <c r="V65" s="6" t="s">
        <v>26</v>
      </c>
      <c r="W65" s="6"/>
    </row>
    <row r="66" spans="1:23" x14ac:dyDescent="0.3">
      <c r="A66" s="3" t="s">
        <v>151</v>
      </c>
      <c r="B66" s="6" t="s">
        <v>21</v>
      </c>
      <c r="C66" s="5">
        <v>8099389567</v>
      </c>
      <c r="D66" s="5">
        <v>720428047</v>
      </c>
      <c r="E66" s="6" t="s">
        <v>123</v>
      </c>
      <c r="F66" s="6" t="s">
        <v>152</v>
      </c>
      <c r="G66" s="6">
        <v>1000000036</v>
      </c>
      <c r="H66" s="6" t="s">
        <v>49</v>
      </c>
      <c r="I66" s="6">
        <f>IF(SalesData[[#This Row],[Status of Call]]="completed",1,0)</f>
        <v>0</v>
      </c>
      <c r="J66" s="6">
        <f>1</f>
        <v>1</v>
      </c>
      <c r="K66" s="6">
        <f>SalesData[[#This Row],[Completed calls]]/SalesData[[#This Row],[Total calls]]</f>
        <v>0</v>
      </c>
      <c r="L66" s="4">
        <f t="shared" si="1"/>
        <v>1</v>
      </c>
      <c r="M66" s="4">
        <f t="shared" ref="M66:M129" si="4">IF(B66="Outgoing",1,0)</f>
        <v>0</v>
      </c>
      <c r="N66" s="4">
        <f t="shared" si="2"/>
        <v>0</v>
      </c>
      <c r="O66" s="7">
        <v>46237</v>
      </c>
      <c r="P66" s="9">
        <v>46237.974050925928</v>
      </c>
      <c r="Q66" s="9">
        <v>46237.974594907406</v>
      </c>
      <c r="R66" s="6">
        <v>47</v>
      </c>
      <c r="S66" s="4">
        <f t="shared" si="3"/>
        <v>1</v>
      </c>
      <c r="U66" s="6" t="s">
        <v>142</v>
      </c>
      <c r="V66" s="6" t="s">
        <v>26</v>
      </c>
      <c r="W66" s="6"/>
    </row>
    <row r="67" spans="1:23" x14ac:dyDescent="0.3">
      <c r="A67" s="3" t="s">
        <v>153</v>
      </c>
      <c r="B67" s="6" t="s">
        <v>21</v>
      </c>
      <c r="C67" s="5">
        <v>8099389567</v>
      </c>
      <c r="D67" s="5">
        <v>773275153</v>
      </c>
      <c r="E67" s="6" t="s">
        <v>97</v>
      </c>
      <c r="F67" s="6" t="s">
        <v>98</v>
      </c>
      <c r="G67" s="6">
        <v>1000000015</v>
      </c>
      <c r="H67" s="6" t="s">
        <v>49</v>
      </c>
      <c r="I67" s="6">
        <f>IF(SalesData[[#This Row],[Status of Call]]="completed",1,0)</f>
        <v>0</v>
      </c>
      <c r="J67" s="6">
        <f>1</f>
        <v>1</v>
      </c>
      <c r="K67" s="6">
        <f>SalesData[[#This Row],[Completed calls]]/SalesData[[#This Row],[Total calls]]</f>
        <v>0</v>
      </c>
      <c r="L67" s="4">
        <f t="shared" ref="L67:L130" si="5">IF(B67="incoming",1,0)</f>
        <v>1</v>
      </c>
      <c r="M67" s="4">
        <f t="shared" si="4"/>
        <v>0</v>
      </c>
      <c r="N67" s="4">
        <f t="shared" ref="N67:N130" si="6">IF(AND(B67="Incoming",H67="Completed"),1,0)</f>
        <v>0</v>
      </c>
      <c r="O67" s="7">
        <v>46238</v>
      </c>
      <c r="P67" s="9">
        <v>46238.309675925928</v>
      </c>
      <c r="Q67" s="9">
        <v>46238.309988425928</v>
      </c>
      <c r="R67" s="6">
        <v>28</v>
      </c>
      <c r="S67" s="4">
        <f t="shared" ref="S67:S130" si="7">IF(OR(H67="failed",H67="no-answer",H67="missed-call"),1,0)</f>
        <v>1</v>
      </c>
      <c r="U67" s="6" t="s">
        <v>42</v>
      </c>
      <c r="V67" s="6" t="s">
        <v>26</v>
      </c>
      <c r="W67" s="6"/>
    </row>
    <row r="68" spans="1:23" x14ac:dyDescent="0.3">
      <c r="A68" s="3" t="s">
        <v>154</v>
      </c>
      <c r="B68" s="6" t="s">
        <v>21</v>
      </c>
      <c r="C68" s="5">
        <v>8099389567</v>
      </c>
      <c r="D68" s="5">
        <v>661813281</v>
      </c>
      <c r="E68" s="6" t="s">
        <v>58</v>
      </c>
      <c r="F68" s="6" t="s">
        <v>150</v>
      </c>
      <c r="G68" s="6">
        <v>1000000038</v>
      </c>
      <c r="H68" s="6" t="s">
        <v>24</v>
      </c>
      <c r="I68" s="6">
        <f>IF(SalesData[[#This Row],[Status of Call]]="completed",1,0)</f>
        <v>0</v>
      </c>
      <c r="J68" s="6">
        <f>1</f>
        <v>1</v>
      </c>
      <c r="K68" s="6">
        <f>SalesData[[#This Row],[Completed calls]]/SalesData[[#This Row],[Total calls]]</f>
        <v>0</v>
      </c>
      <c r="L68" s="4">
        <f t="shared" si="5"/>
        <v>1</v>
      </c>
      <c r="M68" s="4">
        <f t="shared" si="4"/>
        <v>0</v>
      </c>
      <c r="N68" s="4">
        <f t="shared" si="6"/>
        <v>0</v>
      </c>
      <c r="O68" s="7">
        <v>46238</v>
      </c>
      <c r="P68" s="9">
        <v>46238.42460648148</v>
      </c>
      <c r="Q68" s="9">
        <v>46238.424664351849</v>
      </c>
      <c r="R68" s="6">
        <v>2</v>
      </c>
      <c r="S68" s="4">
        <f t="shared" si="7"/>
        <v>0</v>
      </c>
      <c r="U68" s="6" t="s">
        <v>26</v>
      </c>
      <c r="V68" s="6" t="s">
        <v>26</v>
      </c>
      <c r="W68" s="6"/>
    </row>
    <row r="69" spans="1:23" x14ac:dyDescent="0.3">
      <c r="A69" s="3" t="s">
        <v>155</v>
      </c>
      <c r="B69" s="10" t="s">
        <v>21</v>
      </c>
      <c r="C69" s="5">
        <v>8099389567</v>
      </c>
      <c r="D69" s="5">
        <v>816841081</v>
      </c>
      <c r="E69" s="6" t="s">
        <v>28</v>
      </c>
      <c r="F69" s="10" t="s">
        <v>150</v>
      </c>
      <c r="G69" s="10">
        <v>1000000038</v>
      </c>
      <c r="H69" s="10" t="s">
        <v>32</v>
      </c>
      <c r="I69" s="10">
        <f>IF(SalesData[[#This Row],[Status of Call]]="completed",1,0)</f>
        <v>1</v>
      </c>
      <c r="J69" s="10">
        <f>1</f>
        <v>1</v>
      </c>
      <c r="K69" s="10">
        <f>SalesData[[#This Row],[Completed calls]]/SalesData[[#This Row],[Total calls]]</f>
        <v>1</v>
      </c>
      <c r="L69" s="4">
        <f t="shared" si="5"/>
        <v>1</v>
      </c>
      <c r="M69" s="4">
        <f t="shared" si="4"/>
        <v>0</v>
      </c>
      <c r="N69" s="4">
        <f t="shared" si="6"/>
        <v>1</v>
      </c>
      <c r="O69" s="7">
        <v>46236</v>
      </c>
      <c r="P69" s="9">
        <v>46236.426631944443</v>
      </c>
      <c r="Q69" s="9">
        <v>46236.431504629632</v>
      </c>
      <c r="R69" s="10">
        <v>422</v>
      </c>
      <c r="S69" s="4">
        <f t="shared" si="7"/>
        <v>0</v>
      </c>
      <c r="T69" s="10">
        <v>2.8</v>
      </c>
      <c r="U69" s="10" t="s">
        <v>26</v>
      </c>
      <c r="V69" s="10" t="s">
        <v>26</v>
      </c>
      <c r="W69" s="6"/>
    </row>
    <row r="70" spans="1:23" x14ac:dyDescent="0.3">
      <c r="A70" s="3" t="s">
        <v>156</v>
      </c>
      <c r="B70" s="6" t="s">
        <v>21</v>
      </c>
      <c r="C70" s="5">
        <v>8099389567</v>
      </c>
      <c r="D70" s="5">
        <v>946810736</v>
      </c>
      <c r="E70" s="6" t="s">
        <v>121</v>
      </c>
      <c r="F70" s="6" t="s">
        <v>98</v>
      </c>
      <c r="G70" s="6">
        <v>1000000015</v>
      </c>
      <c r="H70" s="6" t="s">
        <v>32</v>
      </c>
      <c r="I70" s="6">
        <f>IF(SalesData[[#This Row],[Status of Call]]="completed",1,0)</f>
        <v>1</v>
      </c>
      <c r="J70" s="6">
        <f>1</f>
        <v>1</v>
      </c>
      <c r="K70" s="6">
        <f>SalesData[[#This Row],[Completed calls]]/SalesData[[#This Row],[Total calls]]</f>
        <v>1</v>
      </c>
      <c r="L70" s="4">
        <f t="shared" si="5"/>
        <v>1</v>
      </c>
      <c r="M70" s="4">
        <f t="shared" si="4"/>
        <v>0</v>
      </c>
      <c r="N70" s="4">
        <f t="shared" si="6"/>
        <v>1</v>
      </c>
      <c r="O70" s="7">
        <v>46238</v>
      </c>
      <c r="P70" s="9">
        <v>46238.424733796295</v>
      </c>
      <c r="Q70" s="9">
        <v>46238.425439814811</v>
      </c>
      <c r="R70" s="6">
        <v>62</v>
      </c>
      <c r="S70" s="4">
        <f t="shared" si="7"/>
        <v>0</v>
      </c>
      <c r="T70" s="6">
        <v>0.4</v>
      </c>
      <c r="U70" s="6" t="s">
        <v>26</v>
      </c>
      <c r="V70" s="6" t="s">
        <v>26</v>
      </c>
      <c r="W70" s="6"/>
    </row>
    <row r="71" spans="1:23" x14ac:dyDescent="0.3">
      <c r="A71" s="3" t="s">
        <v>157</v>
      </c>
      <c r="B71" s="6" t="s">
        <v>21</v>
      </c>
      <c r="C71" s="5">
        <v>8099389567</v>
      </c>
      <c r="D71" s="5">
        <v>482395652</v>
      </c>
      <c r="E71" s="6" t="s">
        <v>22</v>
      </c>
      <c r="F71" s="6" t="s">
        <v>64</v>
      </c>
      <c r="G71" s="6">
        <v>1000000001</v>
      </c>
      <c r="H71" s="6" t="s">
        <v>32</v>
      </c>
      <c r="I71" s="6">
        <f>IF(SalesData[[#This Row],[Status of Call]]="completed",1,0)</f>
        <v>1</v>
      </c>
      <c r="J71" s="6">
        <f>1</f>
        <v>1</v>
      </c>
      <c r="K71" s="6">
        <f>SalesData[[#This Row],[Completed calls]]/SalesData[[#This Row],[Total calls]]</f>
        <v>1</v>
      </c>
      <c r="L71" s="4">
        <f t="shared" si="5"/>
        <v>1</v>
      </c>
      <c r="M71" s="4">
        <f t="shared" si="4"/>
        <v>0</v>
      </c>
      <c r="N71" s="4">
        <f t="shared" si="6"/>
        <v>1</v>
      </c>
      <c r="O71" s="7">
        <v>46238</v>
      </c>
      <c r="P71" s="9">
        <v>46238.448159722226</v>
      </c>
      <c r="Q71" s="9">
        <v>46238.453530092593</v>
      </c>
      <c r="R71" s="6">
        <v>465</v>
      </c>
      <c r="S71" s="4">
        <f t="shared" si="7"/>
        <v>0</v>
      </c>
      <c r="T71" s="6">
        <v>3.2</v>
      </c>
      <c r="U71" s="6" t="s">
        <v>26</v>
      </c>
      <c r="V71" s="6" t="s">
        <v>26</v>
      </c>
      <c r="W71" s="6"/>
    </row>
    <row r="72" spans="1:23" x14ac:dyDescent="0.3">
      <c r="A72" s="3" t="s">
        <v>158</v>
      </c>
      <c r="B72" s="6" t="s">
        <v>21</v>
      </c>
      <c r="C72" s="5">
        <v>8099389567</v>
      </c>
      <c r="D72" s="5">
        <v>219980597</v>
      </c>
      <c r="E72" s="6" t="s">
        <v>48</v>
      </c>
      <c r="F72" s="6" t="s">
        <v>47</v>
      </c>
      <c r="G72" s="6">
        <v>1000000005</v>
      </c>
      <c r="H72" s="6" t="s">
        <v>32</v>
      </c>
      <c r="I72" s="6">
        <f>IF(SalesData[[#This Row],[Status of Call]]="completed",1,0)</f>
        <v>1</v>
      </c>
      <c r="J72" s="6">
        <f>1</f>
        <v>1</v>
      </c>
      <c r="K72" s="6">
        <f>SalesData[[#This Row],[Completed calls]]/SalesData[[#This Row],[Total calls]]</f>
        <v>1</v>
      </c>
      <c r="L72" s="4">
        <f t="shared" si="5"/>
        <v>1</v>
      </c>
      <c r="M72" s="4">
        <f t="shared" si="4"/>
        <v>0</v>
      </c>
      <c r="N72" s="4">
        <f t="shared" si="6"/>
        <v>1</v>
      </c>
      <c r="O72" s="7">
        <v>46238</v>
      </c>
      <c r="P72" s="9">
        <v>46238.473923611113</v>
      </c>
      <c r="Q72" s="9">
        <v>46238.474490740744</v>
      </c>
      <c r="R72" s="6">
        <v>50</v>
      </c>
      <c r="S72" s="4">
        <f t="shared" si="7"/>
        <v>0</v>
      </c>
      <c r="T72" s="6">
        <v>0.4</v>
      </c>
      <c r="U72" s="6" t="s">
        <v>26</v>
      </c>
      <c r="V72" s="6" t="s">
        <v>26</v>
      </c>
      <c r="W72" s="6"/>
    </row>
    <row r="73" spans="1:23" x14ac:dyDescent="0.3">
      <c r="A73" s="3" t="s">
        <v>159</v>
      </c>
      <c r="B73" s="6" t="s">
        <v>21</v>
      </c>
      <c r="C73" s="5">
        <v>8099389567</v>
      </c>
      <c r="D73" s="5">
        <v>476905894</v>
      </c>
      <c r="E73" s="6" t="s">
        <v>44</v>
      </c>
      <c r="F73" s="6" t="s">
        <v>45</v>
      </c>
      <c r="G73" s="6">
        <v>1000000004</v>
      </c>
      <c r="H73" s="6" t="s">
        <v>32</v>
      </c>
      <c r="I73" s="6">
        <f>IF(SalesData[[#This Row],[Status of Call]]="completed",1,0)</f>
        <v>1</v>
      </c>
      <c r="J73" s="6">
        <f>1</f>
        <v>1</v>
      </c>
      <c r="K73" s="6">
        <f>SalesData[[#This Row],[Completed calls]]/SalesData[[#This Row],[Total calls]]</f>
        <v>1</v>
      </c>
      <c r="L73" s="4">
        <f t="shared" si="5"/>
        <v>1</v>
      </c>
      <c r="M73" s="4">
        <f t="shared" si="4"/>
        <v>0</v>
      </c>
      <c r="N73" s="4">
        <f t="shared" si="6"/>
        <v>1</v>
      </c>
      <c r="O73" s="7">
        <v>46238</v>
      </c>
      <c r="P73" s="9">
        <v>46238.494386574072</v>
      </c>
      <c r="Q73" s="9">
        <v>46238.494930555556</v>
      </c>
      <c r="R73" s="6">
        <v>48</v>
      </c>
      <c r="S73" s="4">
        <f t="shared" si="7"/>
        <v>0</v>
      </c>
      <c r="T73" s="6">
        <v>0.4</v>
      </c>
      <c r="U73" s="6" t="s">
        <v>26</v>
      </c>
      <c r="V73" s="6" t="s">
        <v>26</v>
      </c>
      <c r="W73" s="6"/>
    </row>
    <row r="74" spans="1:23" x14ac:dyDescent="0.3">
      <c r="A74" s="3" t="s">
        <v>160</v>
      </c>
      <c r="B74" s="6" t="s">
        <v>21</v>
      </c>
      <c r="C74" s="5">
        <v>8099389567</v>
      </c>
      <c r="D74" s="5">
        <v>938686844</v>
      </c>
      <c r="E74" s="6" t="s">
        <v>123</v>
      </c>
      <c r="F74" s="6" t="s">
        <v>47</v>
      </c>
      <c r="G74" s="6">
        <v>1000000005</v>
      </c>
      <c r="H74" s="6" t="s">
        <v>32</v>
      </c>
      <c r="I74" s="6">
        <f>IF(SalesData[[#This Row],[Status of Call]]="completed",1,0)</f>
        <v>1</v>
      </c>
      <c r="J74" s="6">
        <f>1</f>
        <v>1</v>
      </c>
      <c r="K74" s="6">
        <f>SalesData[[#This Row],[Completed calls]]/SalesData[[#This Row],[Total calls]]</f>
        <v>1</v>
      </c>
      <c r="L74" s="4">
        <f t="shared" si="5"/>
        <v>1</v>
      </c>
      <c r="M74" s="4">
        <f t="shared" si="4"/>
        <v>0</v>
      </c>
      <c r="N74" s="4">
        <f t="shared" si="6"/>
        <v>1</v>
      </c>
      <c r="O74" s="7">
        <v>46238</v>
      </c>
      <c r="P74" s="9">
        <v>46238.522835648146</v>
      </c>
      <c r="Q74" s="9">
        <v>46238.533541666664</v>
      </c>
      <c r="R74" s="6">
        <v>926</v>
      </c>
      <c r="S74" s="4">
        <f t="shared" si="7"/>
        <v>0</v>
      </c>
      <c r="T74" s="6">
        <v>6</v>
      </c>
      <c r="U74" s="6" t="s">
        <v>26</v>
      </c>
      <c r="V74" s="6" t="s">
        <v>26</v>
      </c>
      <c r="W74" s="6"/>
    </row>
    <row r="75" spans="1:23" x14ac:dyDescent="0.3">
      <c r="A75" s="3" t="s">
        <v>161</v>
      </c>
      <c r="B75" s="6" t="s">
        <v>21</v>
      </c>
      <c r="C75" s="5">
        <v>8099389567</v>
      </c>
      <c r="D75" s="5">
        <v>873030586</v>
      </c>
      <c r="E75" s="6" t="s">
        <v>104</v>
      </c>
      <c r="F75" s="6" t="s">
        <v>74</v>
      </c>
      <c r="G75" s="6">
        <v>1000000003</v>
      </c>
      <c r="H75" s="6" t="s">
        <v>49</v>
      </c>
      <c r="I75" s="6">
        <f>IF(SalesData[[#This Row],[Status of Call]]="completed",1,0)</f>
        <v>0</v>
      </c>
      <c r="J75" s="6">
        <f>1</f>
        <v>1</v>
      </c>
      <c r="K75" s="6">
        <f>SalesData[[#This Row],[Completed calls]]/SalesData[[#This Row],[Total calls]]</f>
        <v>0</v>
      </c>
      <c r="L75" s="4">
        <f t="shared" si="5"/>
        <v>1</v>
      </c>
      <c r="M75" s="4">
        <f t="shared" si="4"/>
        <v>0</v>
      </c>
      <c r="N75" s="4">
        <f t="shared" si="6"/>
        <v>0</v>
      </c>
      <c r="O75" s="7">
        <v>46238</v>
      </c>
      <c r="P75" s="9">
        <v>46238.527650462966</v>
      </c>
      <c r="Q75" s="9">
        <v>46238.528761574074</v>
      </c>
      <c r="R75" s="6">
        <v>96</v>
      </c>
      <c r="S75" s="4">
        <f t="shared" si="7"/>
        <v>1</v>
      </c>
      <c r="U75" s="6" t="s">
        <v>109</v>
      </c>
      <c r="V75" s="6" t="s">
        <v>26</v>
      </c>
      <c r="W75" s="6"/>
    </row>
    <row r="76" spans="1:23" x14ac:dyDescent="0.3">
      <c r="A76" s="3" t="s">
        <v>162</v>
      </c>
      <c r="B76" s="6" t="s">
        <v>21</v>
      </c>
      <c r="C76" s="5">
        <v>8099389567</v>
      </c>
      <c r="D76" s="5">
        <v>584995501</v>
      </c>
      <c r="E76" s="6" t="s">
        <v>97</v>
      </c>
      <c r="F76" s="6" t="s">
        <v>82</v>
      </c>
      <c r="G76" s="6">
        <v>1000000033</v>
      </c>
      <c r="H76" s="6" t="s">
        <v>32</v>
      </c>
      <c r="I76" s="6">
        <f>IF(SalesData[[#This Row],[Status of Call]]="completed",1,0)</f>
        <v>1</v>
      </c>
      <c r="J76" s="6">
        <f>1</f>
        <v>1</v>
      </c>
      <c r="K76" s="6">
        <f>SalesData[[#This Row],[Completed calls]]/SalesData[[#This Row],[Total calls]]</f>
        <v>1</v>
      </c>
      <c r="L76" s="4">
        <f t="shared" si="5"/>
        <v>1</v>
      </c>
      <c r="M76" s="4">
        <f t="shared" si="4"/>
        <v>0</v>
      </c>
      <c r="N76" s="4">
        <f t="shared" si="6"/>
        <v>1</v>
      </c>
      <c r="O76" s="7">
        <v>46238</v>
      </c>
      <c r="P76" s="9">
        <v>46238.575104166666</v>
      </c>
      <c r="Q76" s="9">
        <v>46238.580775462964</v>
      </c>
      <c r="R76" s="6">
        <v>490</v>
      </c>
      <c r="S76" s="4">
        <f t="shared" si="7"/>
        <v>0</v>
      </c>
      <c r="T76" s="6">
        <v>3.2</v>
      </c>
      <c r="U76" s="6" t="s">
        <v>163</v>
      </c>
      <c r="V76" s="6" t="s">
        <v>26</v>
      </c>
      <c r="W76" s="6"/>
    </row>
    <row r="77" spans="1:23" x14ac:dyDescent="0.3">
      <c r="A77" s="3" t="s">
        <v>164</v>
      </c>
      <c r="B77" s="6" t="s">
        <v>21</v>
      </c>
      <c r="C77" s="5">
        <v>8099389567</v>
      </c>
      <c r="D77" s="5">
        <v>492252933</v>
      </c>
      <c r="E77" s="6" t="s">
        <v>23</v>
      </c>
      <c r="F77" s="6" t="s">
        <v>23</v>
      </c>
      <c r="G77" s="6">
        <v>1000000014</v>
      </c>
      <c r="H77" s="6" t="s">
        <v>49</v>
      </c>
      <c r="I77" s="6">
        <f>IF(SalesData[[#This Row],[Status of Call]]="completed",1,0)</f>
        <v>0</v>
      </c>
      <c r="J77" s="6">
        <f>1</f>
        <v>1</v>
      </c>
      <c r="K77" s="6">
        <f>SalesData[[#This Row],[Completed calls]]/SalesData[[#This Row],[Total calls]]</f>
        <v>0</v>
      </c>
      <c r="L77" s="4">
        <f t="shared" si="5"/>
        <v>1</v>
      </c>
      <c r="M77" s="4">
        <f t="shared" si="4"/>
        <v>0</v>
      </c>
      <c r="N77" s="4">
        <f t="shared" si="6"/>
        <v>0</v>
      </c>
      <c r="O77" s="7">
        <v>46238</v>
      </c>
      <c r="P77" s="9">
        <v>46238.598495370374</v>
      </c>
      <c r="Q77" s="9">
        <v>46238.599085648151</v>
      </c>
      <c r="R77" s="6">
        <v>53</v>
      </c>
      <c r="S77" s="4">
        <f t="shared" si="7"/>
        <v>1</v>
      </c>
      <c r="U77" s="6" t="s">
        <v>163</v>
      </c>
      <c r="V77" s="6" t="s">
        <v>26</v>
      </c>
      <c r="W77" s="6"/>
    </row>
    <row r="78" spans="1:23" x14ac:dyDescent="0.3">
      <c r="A78" s="3" t="s">
        <v>165</v>
      </c>
      <c r="B78" s="6" t="s">
        <v>21</v>
      </c>
      <c r="C78" s="5">
        <v>8099389567</v>
      </c>
      <c r="D78" s="5">
        <v>819229435</v>
      </c>
      <c r="E78" s="6" t="s">
        <v>140</v>
      </c>
      <c r="F78" s="6" t="s">
        <v>107</v>
      </c>
      <c r="G78" s="6">
        <v>1000000035</v>
      </c>
      <c r="H78" s="6" t="s">
        <v>49</v>
      </c>
      <c r="I78" s="6">
        <f>IF(SalesData[[#This Row],[Status of Call]]="completed",1,0)</f>
        <v>0</v>
      </c>
      <c r="J78" s="6">
        <f>1</f>
        <v>1</v>
      </c>
      <c r="K78" s="6">
        <f>SalesData[[#This Row],[Completed calls]]/SalesData[[#This Row],[Total calls]]</f>
        <v>0</v>
      </c>
      <c r="L78" s="4">
        <f t="shared" si="5"/>
        <v>1</v>
      </c>
      <c r="M78" s="4">
        <f t="shared" si="4"/>
        <v>0</v>
      </c>
      <c r="N78" s="4">
        <f t="shared" si="6"/>
        <v>0</v>
      </c>
      <c r="O78" s="7">
        <v>46238</v>
      </c>
      <c r="P78" s="9">
        <v>46238.611238425925</v>
      </c>
      <c r="Q78" s="9">
        <v>46238.612222222226</v>
      </c>
      <c r="R78" s="6">
        <v>86</v>
      </c>
      <c r="S78" s="4">
        <f t="shared" si="7"/>
        <v>1</v>
      </c>
      <c r="U78" s="6" t="s">
        <v>163</v>
      </c>
      <c r="V78" s="6" t="s">
        <v>26</v>
      </c>
      <c r="W78" s="6"/>
    </row>
    <row r="79" spans="1:23" x14ac:dyDescent="0.3">
      <c r="A79" s="3" t="s">
        <v>166</v>
      </c>
      <c r="B79" s="6" t="s">
        <v>21</v>
      </c>
      <c r="C79" s="5">
        <v>8099389567</v>
      </c>
      <c r="D79" s="5">
        <v>259539026</v>
      </c>
      <c r="E79" s="6" t="s">
        <v>121</v>
      </c>
      <c r="F79" s="6" t="s">
        <v>124</v>
      </c>
      <c r="G79" s="6">
        <v>1000000031</v>
      </c>
      <c r="H79" s="6" t="s">
        <v>32</v>
      </c>
      <c r="I79" s="6">
        <f>IF(SalesData[[#This Row],[Status of Call]]="completed",1,0)</f>
        <v>1</v>
      </c>
      <c r="J79" s="6">
        <f>1</f>
        <v>1</v>
      </c>
      <c r="K79" s="6">
        <f>SalesData[[#This Row],[Completed calls]]/SalesData[[#This Row],[Total calls]]</f>
        <v>1</v>
      </c>
      <c r="L79" s="4">
        <f t="shared" si="5"/>
        <v>1</v>
      </c>
      <c r="M79" s="4">
        <f t="shared" si="4"/>
        <v>0</v>
      </c>
      <c r="N79" s="4">
        <f t="shared" si="6"/>
        <v>1</v>
      </c>
      <c r="O79" s="7">
        <v>46238</v>
      </c>
      <c r="P79" s="9">
        <v>46238.670381944445</v>
      </c>
      <c r="Q79" s="9">
        <v>46238.671087962961</v>
      </c>
      <c r="R79" s="6">
        <v>62</v>
      </c>
      <c r="S79" s="4">
        <f t="shared" si="7"/>
        <v>0</v>
      </c>
      <c r="T79" s="6">
        <v>0.4</v>
      </c>
      <c r="U79" s="6" t="s">
        <v>26</v>
      </c>
      <c r="V79" s="6" t="s">
        <v>26</v>
      </c>
      <c r="W79" s="6"/>
    </row>
    <row r="80" spans="1:23" x14ac:dyDescent="0.3">
      <c r="A80" s="3" t="s">
        <v>167</v>
      </c>
      <c r="B80" s="6" t="s">
        <v>21</v>
      </c>
      <c r="C80" s="5">
        <v>8099389567</v>
      </c>
      <c r="D80" s="5">
        <v>38108562</v>
      </c>
      <c r="E80" s="6" t="s">
        <v>84</v>
      </c>
      <c r="F80" s="6" t="s">
        <v>38</v>
      </c>
      <c r="G80" s="6">
        <v>1000000028</v>
      </c>
      <c r="H80" s="6" t="s">
        <v>32</v>
      </c>
      <c r="I80" s="6">
        <f>IF(SalesData[[#This Row],[Status of Call]]="completed",1,0)</f>
        <v>1</v>
      </c>
      <c r="J80" s="6">
        <f>1</f>
        <v>1</v>
      </c>
      <c r="K80" s="6">
        <f>SalesData[[#This Row],[Completed calls]]/SalesData[[#This Row],[Total calls]]</f>
        <v>1</v>
      </c>
      <c r="L80" s="4">
        <f t="shared" si="5"/>
        <v>1</v>
      </c>
      <c r="M80" s="4">
        <f t="shared" si="4"/>
        <v>0</v>
      </c>
      <c r="N80" s="4">
        <f t="shared" si="6"/>
        <v>1</v>
      </c>
      <c r="O80" s="7">
        <v>46238</v>
      </c>
      <c r="P80" s="9">
        <v>46238.704606481479</v>
      </c>
      <c r="Q80" s="9">
        <v>46238.710694444446</v>
      </c>
      <c r="R80" s="6">
        <v>526</v>
      </c>
      <c r="S80" s="4">
        <f t="shared" si="7"/>
        <v>0</v>
      </c>
      <c r="T80" s="6">
        <v>3.2</v>
      </c>
      <c r="U80" s="6" t="s">
        <v>26</v>
      </c>
      <c r="V80" s="6" t="s">
        <v>26</v>
      </c>
      <c r="W80" s="6"/>
    </row>
    <row r="81" spans="1:23" x14ac:dyDescent="0.3">
      <c r="A81" s="3" t="s">
        <v>168</v>
      </c>
      <c r="B81" s="6" t="s">
        <v>21</v>
      </c>
      <c r="C81" s="5">
        <v>8099389567</v>
      </c>
      <c r="D81" s="5">
        <v>489892706</v>
      </c>
      <c r="E81" s="6" t="s">
        <v>22</v>
      </c>
      <c r="F81" s="6" t="s">
        <v>132</v>
      </c>
      <c r="G81" s="6">
        <v>1000000026</v>
      </c>
      <c r="H81" s="6" t="s">
        <v>32</v>
      </c>
      <c r="I81" s="6">
        <f>IF(SalesData[[#This Row],[Status of Call]]="completed",1,0)</f>
        <v>1</v>
      </c>
      <c r="J81" s="6">
        <f>1</f>
        <v>1</v>
      </c>
      <c r="K81" s="6">
        <f>SalesData[[#This Row],[Completed calls]]/SalesData[[#This Row],[Total calls]]</f>
        <v>1</v>
      </c>
      <c r="L81" s="4">
        <f t="shared" si="5"/>
        <v>1</v>
      </c>
      <c r="M81" s="4">
        <f t="shared" si="4"/>
        <v>0</v>
      </c>
      <c r="N81" s="4">
        <f t="shared" si="6"/>
        <v>1</v>
      </c>
      <c r="O81" s="7">
        <v>46238</v>
      </c>
      <c r="P81" s="9">
        <v>46238.733495370368</v>
      </c>
      <c r="Q81" s="9">
        <v>46238.742719907408</v>
      </c>
      <c r="R81" s="6">
        <v>799</v>
      </c>
      <c r="S81" s="4">
        <f t="shared" si="7"/>
        <v>0</v>
      </c>
      <c r="T81" s="6">
        <v>5.2</v>
      </c>
      <c r="U81" s="6" t="s">
        <v>26</v>
      </c>
      <c r="V81" s="6" t="s">
        <v>26</v>
      </c>
      <c r="W81" s="6"/>
    </row>
    <row r="82" spans="1:23" x14ac:dyDescent="0.3">
      <c r="A82" s="3" t="s">
        <v>169</v>
      </c>
      <c r="B82" s="6" t="s">
        <v>21</v>
      </c>
      <c r="C82" s="5">
        <v>8099389567</v>
      </c>
      <c r="D82" s="5">
        <v>266912191</v>
      </c>
      <c r="E82" s="6" t="s">
        <v>170</v>
      </c>
      <c r="F82" s="6" t="s">
        <v>71</v>
      </c>
      <c r="G82" s="6">
        <v>1000000022</v>
      </c>
      <c r="H82" s="6" t="s">
        <v>32</v>
      </c>
      <c r="I82" s="6">
        <f>IF(SalesData[[#This Row],[Status of Call]]="completed",1,0)</f>
        <v>1</v>
      </c>
      <c r="J82" s="6">
        <f>1</f>
        <v>1</v>
      </c>
      <c r="K82" s="6">
        <f>SalesData[[#This Row],[Completed calls]]/SalesData[[#This Row],[Total calls]]</f>
        <v>1</v>
      </c>
      <c r="L82" s="4">
        <f t="shared" si="5"/>
        <v>1</v>
      </c>
      <c r="M82" s="4">
        <f t="shared" si="4"/>
        <v>0</v>
      </c>
      <c r="N82" s="4">
        <f t="shared" si="6"/>
        <v>1</v>
      </c>
      <c r="O82" s="7">
        <v>46238</v>
      </c>
      <c r="P82" s="9">
        <v>46238.737453703703</v>
      </c>
      <c r="Q82" s="9">
        <v>46238.742407407408</v>
      </c>
      <c r="R82" s="6">
        <v>429</v>
      </c>
      <c r="S82" s="4">
        <f t="shared" si="7"/>
        <v>0</v>
      </c>
      <c r="T82" s="6">
        <v>2.8</v>
      </c>
      <c r="U82" s="6" t="s">
        <v>26</v>
      </c>
      <c r="V82" s="6" t="s">
        <v>26</v>
      </c>
      <c r="W82" s="6"/>
    </row>
    <row r="83" spans="1:23" x14ac:dyDescent="0.3">
      <c r="A83" s="3" t="s">
        <v>171</v>
      </c>
      <c r="B83" s="6" t="s">
        <v>21</v>
      </c>
      <c r="C83" s="5">
        <v>8099389567</v>
      </c>
      <c r="D83" s="5">
        <v>574911083</v>
      </c>
      <c r="E83" s="6" t="s">
        <v>101</v>
      </c>
      <c r="F83" s="6" t="s">
        <v>31</v>
      </c>
      <c r="G83" s="6">
        <v>1000000016</v>
      </c>
      <c r="H83" s="6" t="s">
        <v>32</v>
      </c>
      <c r="I83" s="6">
        <f>IF(SalesData[[#This Row],[Status of Call]]="completed",1,0)</f>
        <v>1</v>
      </c>
      <c r="J83" s="6">
        <f>1</f>
        <v>1</v>
      </c>
      <c r="K83" s="6">
        <f>SalesData[[#This Row],[Completed calls]]/SalesData[[#This Row],[Total calls]]</f>
        <v>1</v>
      </c>
      <c r="L83" s="4">
        <f t="shared" si="5"/>
        <v>1</v>
      </c>
      <c r="M83" s="4">
        <f t="shared" si="4"/>
        <v>0</v>
      </c>
      <c r="N83" s="4">
        <f t="shared" si="6"/>
        <v>1</v>
      </c>
      <c r="O83" s="7">
        <v>46238</v>
      </c>
      <c r="P83" s="9">
        <v>46238.753483796296</v>
      </c>
      <c r="Q83" s="9">
        <v>46238.768425925926</v>
      </c>
      <c r="R83" s="6">
        <v>1292</v>
      </c>
      <c r="S83" s="4">
        <f t="shared" si="7"/>
        <v>0</v>
      </c>
      <c r="T83" s="6">
        <v>4.4000000000000004</v>
      </c>
      <c r="U83" s="6" t="s">
        <v>26</v>
      </c>
      <c r="V83" s="6" t="s">
        <v>26</v>
      </c>
      <c r="W83" s="6"/>
    </row>
    <row r="84" spans="1:23" x14ac:dyDescent="0.3">
      <c r="A84" s="3" t="s">
        <v>172</v>
      </c>
      <c r="B84" s="10" t="s">
        <v>21</v>
      </c>
      <c r="C84" s="5">
        <v>8099389567</v>
      </c>
      <c r="D84" s="5">
        <v>799404284</v>
      </c>
      <c r="E84" s="6" t="s">
        <v>104</v>
      </c>
      <c r="F84" s="10" t="s">
        <v>41</v>
      </c>
      <c r="G84" s="10">
        <v>1000000006</v>
      </c>
      <c r="H84" s="10" t="s">
        <v>32</v>
      </c>
      <c r="I84" s="10">
        <f>IF(SalesData[[#This Row],[Status of Call]]="completed",1,0)</f>
        <v>1</v>
      </c>
      <c r="J84" s="10">
        <f>1</f>
        <v>1</v>
      </c>
      <c r="K84" s="10">
        <f>SalesData[[#This Row],[Completed calls]]/SalesData[[#This Row],[Total calls]]</f>
        <v>1</v>
      </c>
      <c r="L84" s="4">
        <f t="shared" si="5"/>
        <v>1</v>
      </c>
      <c r="M84" s="4">
        <f t="shared" si="4"/>
        <v>0</v>
      </c>
      <c r="N84" s="4">
        <f t="shared" si="6"/>
        <v>1</v>
      </c>
      <c r="O84" s="7">
        <v>46236</v>
      </c>
      <c r="P84" s="9">
        <v>46236.442847222221</v>
      </c>
      <c r="Q84" s="9">
        <v>46236.460486111115</v>
      </c>
      <c r="R84" s="10">
        <v>1526</v>
      </c>
      <c r="S84" s="4">
        <f t="shared" si="7"/>
        <v>0</v>
      </c>
      <c r="T84" s="10">
        <v>10</v>
      </c>
      <c r="U84" s="10" t="s">
        <v>26</v>
      </c>
      <c r="V84" s="10" t="s">
        <v>26</v>
      </c>
      <c r="W84" s="6"/>
    </row>
    <row r="85" spans="1:23" x14ac:dyDescent="0.3">
      <c r="A85" s="3" t="s">
        <v>173</v>
      </c>
      <c r="B85" s="6" t="s">
        <v>21</v>
      </c>
      <c r="C85" s="5">
        <v>8099389567</v>
      </c>
      <c r="D85" s="5">
        <v>411445559</v>
      </c>
      <c r="E85" s="6" t="s">
        <v>140</v>
      </c>
      <c r="F85" s="6" t="s">
        <v>135</v>
      </c>
      <c r="G85" s="6">
        <v>1000000029</v>
      </c>
      <c r="H85" s="6" t="s">
        <v>32</v>
      </c>
      <c r="I85" s="6">
        <f>IF(SalesData[[#This Row],[Status of Call]]="completed",1,0)</f>
        <v>1</v>
      </c>
      <c r="J85" s="6">
        <f>1</f>
        <v>1</v>
      </c>
      <c r="K85" s="6">
        <f>SalesData[[#This Row],[Completed calls]]/SalesData[[#This Row],[Total calls]]</f>
        <v>1</v>
      </c>
      <c r="L85" s="4">
        <f t="shared" si="5"/>
        <v>1</v>
      </c>
      <c r="M85" s="4">
        <f t="shared" si="4"/>
        <v>0</v>
      </c>
      <c r="N85" s="4">
        <f t="shared" si="6"/>
        <v>1</v>
      </c>
      <c r="O85" s="7">
        <v>46238</v>
      </c>
      <c r="P85" s="9">
        <v>46238.759247685186</v>
      </c>
      <c r="Q85" s="9">
        <v>46238.763171296298</v>
      </c>
      <c r="R85" s="6">
        <v>340</v>
      </c>
      <c r="S85" s="4">
        <f t="shared" si="7"/>
        <v>0</v>
      </c>
      <c r="T85" s="6">
        <v>2.4</v>
      </c>
      <c r="U85" s="6" t="s">
        <v>26</v>
      </c>
      <c r="V85" s="6" t="s">
        <v>26</v>
      </c>
      <c r="W85" s="6"/>
    </row>
    <row r="86" spans="1:23" x14ac:dyDescent="0.3">
      <c r="A86" s="3" t="s">
        <v>174</v>
      </c>
      <c r="B86" s="6" t="s">
        <v>21</v>
      </c>
      <c r="C86" s="5">
        <v>8099389567</v>
      </c>
      <c r="D86" s="5">
        <v>420715001</v>
      </c>
      <c r="E86" s="6" t="s">
        <v>127</v>
      </c>
      <c r="F86" s="6" t="s">
        <v>38</v>
      </c>
      <c r="G86" s="6">
        <v>1000000028</v>
      </c>
      <c r="H86" s="6" t="s">
        <v>32</v>
      </c>
      <c r="I86" s="6">
        <f>IF(SalesData[[#This Row],[Status of Call]]="completed",1,0)</f>
        <v>1</v>
      </c>
      <c r="J86" s="6">
        <f>1</f>
        <v>1</v>
      </c>
      <c r="K86" s="6">
        <f>SalesData[[#This Row],[Completed calls]]/SalesData[[#This Row],[Total calls]]</f>
        <v>1</v>
      </c>
      <c r="L86" s="4">
        <f t="shared" si="5"/>
        <v>1</v>
      </c>
      <c r="M86" s="4">
        <f t="shared" si="4"/>
        <v>0</v>
      </c>
      <c r="N86" s="4">
        <f t="shared" si="6"/>
        <v>1</v>
      </c>
      <c r="O86" s="7">
        <v>46238</v>
      </c>
      <c r="P86" s="9">
        <v>46238.768518518518</v>
      </c>
      <c r="Q86" s="9">
        <v>46238.776458333334</v>
      </c>
      <c r="R86" s="6">
        <v>686</v>
      </c>
      <c r="S86" s="4">
        <f t="shared" si="7"/>
        <v>0</v>
      </c>
      <c r="T86" s="6">
        <v>4.4000000000000004</v>
      </c>
      <c r="U86" s="6" t="s">
        <v>26</v>
      </c>
      <c r="V86" s="6" t="s">
        <v>26</v>
      </c>
      <c r="W86" s="6"/>
    </row>
    <row r="87" spans="1:23" x14ac:dyDescent="0.3">
      <c r="A87" s="3" t="s">
        <v>175</v>
      </c>
      <c r="B87" s="6" t="s">
        <v>21</v>
      </c>
      <c r="C87" s="5">
        <v>8099389567</v>
      </c>
      <c r="D87" s="5">
        <v>8301427</v>
      </c>
      <c r="E87" s="6" t="s">
        <v>58</v>
      </c>
      <c r="F87" s="6" t="s">
        <v>84</v>
      </c>
      <c r="G87" s="6">
        <v>1000000012</v>
      </c>
      <c r="H87" s="6" t="s">
        <v>24</v>
      </c>
      <c r="I87" s="6">
        <f>IF(SalesData[[#This Row],[Status of Call]]="completed",1,0)</f>
        <v>0</v>
      </c>
      <c r="J87" s="6">
        <f>1</f>
        <v>1</v>
      </c>
      <c r="K87" s="6">
        <f>SalesData[[#This Row],[Completed calls]]/SalesData[[#This Row],[Total calls]]</f>
        <v>0</v>
      </c>
      <c r="L87" s="4">
        <f t="shared" si="5"/>
        <v>1</v>
      </c>
      <c r="M87" s="4">
        <f t="shared" si="4"/>
        <v>0</v>
      </c>
      <c r="N87" s="4">
        <f t="shared" si="6"/>
        <v>0</v>
      </c>
      <c r="O87" s="7">
        <v>46238</v>
      </c>
      <c r="P87" s="9">
        <v>46238.780868055554</v>
      </c>
      <c r="Q87" s="9">
        <v>46238.781030092592</v>
      </c>
      <c r="R87" s="6">
        <v>16</v>
      </c>
      <c r="S87" s="4">
        <f t="shared" si="7"/>
        <v>0</v>
      </c>
      <c r="U87" s="6" t="s">
        <v>26</v>
      </c>
      <c r="V87" s="6" t="s">
        <v>26</v>
      </c>
      <c r="W87" s="6"/>
    </row>
    <row r="88" spans="1:23" x14ac:dyDescent="0.3">
      <c r="A88" s="3" t="s">
        <v>176</v>
      </c>
      <c r="B88" s="6" t="s">
        <v>21</v>
      </c>
      <c r="C88" s="5">
        <v>8099389567</v>
      </c>
      <c r="D88" s="5">
        <v>671261832</v>
      </c>
      <c r="E88" s="6" t="s">
        <v>23</v>
      </c>
      <c r="F88" s="6" t="s">
        <v>61</v>
      </c>
      <c r="G88" s="6">
        <v>1000000018</v>
      </c>
      <c r="H88" s="6" t="s">
        <v>32</v>
      </c>
      <c r="I88" s="6">
        <f>IF(SalesData[[#This Row],[Status of Call]]="completed",1,0)</f>
        <v>1</v>
      </c>
      <c r="J88" s="6">
        <f>1</f>
        <v>1</v>
      </c>
      <c r="K88" s="6">
        <f>SalesData[[#This Row],[Completed calls]]/SalesData[[#This Row],[Total calls]]</f>
        <v>1</v>
      </c>
      <c r="L88" s="4">
        <f t="shared" si="5"/>
        <v>1</v>
      </c>
      <c r="M88" s="4">
        <f t="shared" si="4"/>
        <v>0</v>
      </c>
      <c r="N88" s="4">
        <f t="shared" si="6"/>
        <v>1</v>
      </c>
      <c r="O88" s="7">
        <v>46238</v>
      </c>
      <c r="P88" s="9">
        <v>46238.787268518521</v>
      </c>
      <c r="Q88" s="9">
        <v>46238.79277777778</v>
      </c>
      <c r="R88" s="6">
        <v>477</v>
      </c>
      <c r="S88" s="4">
        <f t="shared" si="7"/>
        <v>0</v>
      </c>
      <c r="T88" s="6">
        <v>2.8</v>
      </c>
      <c r="U88" s="6" t="s">
        <v>26</v>
      </c>
      <c r="V88" s="6" t="s">
        <v>26</v>
      </c>
      <c r="W88" s="6"/>
    </row>
    <row r="89" spans="1:23" x14ac:dyDescent="0.3">
      <c r="A89" s="3" t="s">
        <v>177</v>
      </c>
      <c r="B89" s="6" t="s">
        <v>21</v>
      </c>
      <c r="C89" s="5">
        <v>8099389567</v>
      </c>
      <c r="D89" s="5">
        <v>769585344</v>
      </c>
      <c r="E89" s="6" t="s">
        <v>68</v>
      </c>
      <c r="F89" s="6" t="s">
        <v>75</v>
      </c>
      <c r="G89" s="6">
        <v>1000000030</v>
      </c>
      <c r="H89" s="6" t="s">
        <v>32</v>
      </c>
      <c r="I89" s="6">
        <f>IF(SalesData[[#This Row],[Status of Call]]="completed",1,0)</f>
        <v>1</v>
      </c>
      <c r="J89" s="6">
        <f>1</f>
        <v>1</v>
      </c>
      <c r="K89" s="6">
        <f>SalesData[[#This Row],[Completed calls]]/SalesData[[#This Row],[Total calls]]</f>
        <v>1</v>
      </c>
      <c r="L89" s="4">
        <f t="shared" si="5"/>
        <v>1</v>
      </c>
      <c r="M89" s="4">
        <f t="shared" si="4"/>
        <v>0</v>
      </c>
      <c r="N89" s="4">
        <f t="shared" si="6"/>
        <v>1</v>
      </c>
      <c r="O89" s="7">
        <v>46238</v>
      </c>
      <c r="P89" s="9">
        <v>46238.801053240742</v>
      </c>
      <c r="Q89" s="9">
        <v>46238.801817129628</v>
      </c>
      <c r="R89" s="6">
        <v>67</v>
      </c>
      <c r="S89" s="4">
        <f t="shared" si="7"/>
        <v>0</v>
      </c>
      <c r="T89" s="6">
        <v>0.4</v>
      </c>
      <c r="U89" s="6" t="s">
        <v>26</v>
      </c>
      <c r="V89" s="6" t="s">
        <v>26</v>
      </c>
      <c r="W89" s="6"/>
    </row>
    <row r="90" spans="1:23" x14ac:dyDescent="0.3">
      <c r="A90" s="3" t="s">
        <v>178</v>
      </c>
      <c r="B90" s="6" t="s">
        <v>21</v>
      </c>
      <c r="C90" s="5">
        <v>8099389567</v>
      </c>
      <c r="D90" s="5">
        <v>616911945</v>
      </c>
      <c r="E90" s="6" t="s">
        <v>38</v>
      </c>
      <c r="F90" s="6" t="s">
        <v>135</v>
      </c>
      <c r="G90" s="6">
        <v>1000000029</v>
      </c>
      <c r="H90" s="6" t="s">
        <v>32</v>
      </c>
      <c r="I90" s="6">
        <f>IF(SalesData[[#This Row],[Status of Call]]="completed",1,0)</f>
        <v>1</v>
      </c>
      <c r="J90" s="6">
        <f>1</f>
        <v>1</v>
      </c>
      <c r="K90" s="6">
        <f>SalesData[[#This Row],[Completed calls]]/SalesData[[#This Row],[Total calls]]</f>
        <v>1</v>
      </c>
      <c r="L90" s="4">
        <f t="shared" si="5"/>
        <v>1</v>
      </c>
      <c r="M90" s="4">
        <f t="shared" si="4"/>
        <v>0</v>
      </c>
      <c r="N90" s="4">
        <f t="shared" si="6"/>
        <v>1</v>
      </c>
      <c r="O90" s="7">
        <v>46238</v>
      </c>
      <c r="P90" s="9">
        <v>46238.817928240744</v>
      </c>
      <c r="Q90" s="9">
        <v>46238.819351851853</v>
      </c>
      <c r="R90" s="6">
        <v>124</v>
      </c>
      <c r="S90" s="4">
        <f t="shared" si="7"/>
        <v>0</v>
      </c>
      <c r="T90" s="6">
        <v>0.4</v>
      </c>
      <c r="U90" s="6" t="s">
        <v>26</v>
      </c>
      <c r="V90" s="6" t="s">
        <v>26</v>
      </c>
      <c r="W90" s="6"/>
    </row>
    <row r="91" spans="1:23" x14ac:dyDescent="0.3">
      <c r="A91" s="3" t="s">
        <v>179</v>
      </c>
      <c r="B91" s="6" t="s">
        <v>21</v>
      </c>
      <c r="C91" s="5">
        <v>8099389567</v>
      </c>
      <c r="D91" s="5">
        <v>857100076</v>
      </c>
      <c r="E91" s="6" t="s">
        <v>68</v>
      </c>
      <c r="F91" s="6" t="s">
        <v>152</v>
      </c>
      <c r="G91" s="6">
        <v>1000000036</v>
      </c>
      <c r="H91" s="6" t="s">
        <v>32</v>
      </c>
      <c r="I91" s="6">
        <f>IF(SalesData[[#This Row],[Status of Call]]="completed",1,0)</f>
        <v>1</v>
      </c>
      <c r="J91" s="6">
        <f>1</f>
        <v>1</v>
      </c>
      <c r="K91" s="6">
        <f>SalesData[[#This Row],[Completed calls]]/SalesData[[#This Row],[Total calls]]</f>
        <v>1</v>
      </c>
      <c r="L91" s="4">
        <f t="shared" si="5"/>
        <v>1</v>
      </c>
      <c r="M91" s="4">
        <f t="shared" si="4"/>
        <v>0</v>
      </c>
      <c r="N91" s="4">
        <f t="shared" si="6"/>
        <v>1</v>
      </c>
      <c r="O91" s="7">
        <v>46238</v>
      </c>
      <c r="P91" s="9">
        <v>46238.831203703703</v>
      </c>
      <c r="Q91" s="9">
        <v>46238.842372685183</v>
      </c>
      <c r="R91" s="6">
        <v>966</v>
      </c>
      <c r="S91" s="4">
        <f t="shared" si="7"/>
        <v>0</v>
      </c>
      <c r="T91" s="6">
        <v>6</v>
      </c>
      <c r="U91" s="6" t="s">
        <v>26</v>
      </c>
      <c r="V91" s="6" t="s">
        <v>26</v>
      </c>
      <c r="W91" s="6"/>
    </row>
    <row r="92" spans="1:23" x14ac:dyDescent="0.3">
      <c r="A92" s="3" t="s">
        <v>180</v>
      </c>
      <c r="B92" s="10" t="s">
        <v>21</v>
      </c>
      <c r="C92" s="5">
        <v>8099389567</v>
      </c>
      <c r="D92" s="5">
        <v>913319262</v>
      </c>
      <c r="E92" s="6" t="s">
        <v>40</v>
      </c>
      <c r="F92" s="10" t="s">
        <v>23</v>
      </c>
      <c r="G92" s="10">
        <v>1000000014</v>
      </c>
      <c r="H92" s="10" t="s">
        <v>24</v>
      </c>
      <c r="I92" s="10">
        <f>IF(SalesData[[#This Row],[Status of Call]]="completed",1,0)</f>
        <v>0</v>
      </c>
      <c r="J92" s="10">
        <f>1</f>
        <v>1</v>
      </c>
      <c r="K92" s="10">
        <f>SalesData[[#This Row],[Completed calls]]/SalesData[[#This Row],[Total calls]]</f>
        <v>0</v>
      </c>
      <c r="L92" s="4">
        <f t="shared" si="5"/>
        <v>1</v>
      </c>
      <c r="M92" s="4">
        <f t="shared" si="4"/>
        <v>0</v>
      </c>
      <c r="N92" s="4">
        <f t="shared" si="6"/>
        <v>0</v>
      </c>
      <c r="O92" s="7">
        <v>46236</v>
      </c>
      <c r="P92" s="9">
        <v>46236.444074074076</v>
      </c>
      <c r="Q92" s="9">
        <v>46236.444282407407</v>
      </c>
      <c r="R92" s="10">
        <v>19</v>
      </c>
      <c r="S92" s="4">
        <f t="shared" si="7"/>
        <v>0</v>
      </c>
      <c r="T92" s="10"/>
      <c r="U92" s="10" t="s">
        <v>26</v>
      </c>
      <c r="V92" s="10" t="s">
        <v>26</v>
      </c>
      <c r="W92" s="6"/>
    </row>
    <row r="93" spans="1:23" x14ac:dyDescent="0.3">
      <c r="A93" s="3" t="s">
        <v>181</v>
      </c>
      <c r="B93" s="6" t="s">
        <v>21</v>
      </c>
      <c r="C93" s="5">
        <v>8099389567</v>
      </c>
      <c r="D93" s="5">
        <v>87299898</v>
      </c>
      <c r="E93" s="6" t="s">
        <v>140</v>
      </c>
      <c r="F93" s="6" t="s">
        <v>68</v>
      </c>
      <c r="G93" s="6">
        <v>1000000007</v>
      </c>
      <c r="H93" s="6" t="s">
        <v>32</v>
      </c>
      <c r="I93" s="6">
        <f>IF(SalesData[[#This Row],[Status of Call]]="completed",1,0)</f>
        <v>1</v>
      </c>
      <c r="J93" s="6">
        <f>1</f>
        <v>1</v>
      </c>
      <c r="K93" s="6">
        <f>SalesData[[#This Row],[Completed calls]]/SalesData[[#This Row],[Total calls]]</f>
        <v>1</v>
      </c>
      <c r="L93" s="4">
        <f t="shared" si="5"/>
        <v>1</v>
      </c>
      <c r="M93" s="4">
        <f t="shared" si="4"/>
        <v>0</v>
      </c>
      <c r="N93" s="4">
        <f t="shared" si="6"/>
        <v>1</v>
      </c>
      <c r="O93" s="7">
        <v>46238</v>
      </c>
      <c r="P93" s="9">
        <v>46238.885231481479</v>
      </c>
      <c r="Q93" s="9">
        <v>46238.88784722222</v>
      </c>
      <c r="R93" s="6">
        <v>226</v>
      </c>
      <c r="S93" s="4">
        <f t="shared" si="7"/>
        <v>0</v>
      </c>
      <c r="T93" s="6">
        <v>1.6</v>
      </c>
      <c r="U93" s="6" t="s">
        <v>26</v>
      </c>
      <c r="V93" s="6" t="s">
        <v>26</v>
      </c>
      <c r="W93" s="6"/>
    </row>
    <row r="94" spans="1:23" x14ac:dyDescent="0.3">
      <c r="A94" s="3" t="s">
        <v>182</v>
      </c>
      <c r="B94" s="6" t="s">
        <v>21</v>
      </c>
      <c r="C94" s="5">
        <v>8099389567</v>
      </c>
      <c r="D94" s="5">
        <v>949454801</v>
      </c>
      <c r="E94" s="6" t="s">
        <v>30</v>
      </c>
      <c r="F94" s="6" t="s">
        <v>45</v>
      </c>
      <c r="G94" s="6">
        <v>1000000004</v>
      </c>
      <c r="H94" s="6" t="s">
        <v>24</v>
      </c>
      <c r="I94" s="6">
        <f>IF(SalesData[[#This Row],[Status of Call]]="completed",1,0)</f>
        <v>0</v>
      </c>
      <c r="J94" s="6">
        <f>1</f>
        <v>1</v>
      </c>
      <c r="K94" s="6">
        <f>SalesData[[#This Row],[Completed calls]]/SalesData[[#This Row],[Total calls]]</f>
        <v>0</v>
      </c>
      <c r="L94" s="4">
        <f t="shared" si="5"/>
        <v>1</v>
      </c>
      <c r="M94" s="4">
        <f t="shared" si="4"/>
        <v>0</v>
      </c>
      <c r="N94" s="4">
        <f t="shared" si="6"/>
        <v>0</v>
      </c>
      <c r="O94" s="7">
        <v>46238</v>
      </c>
      <c r="P94" s="9">
        <v>46238.985509259262</v>
      </c>
      <c r="Q94" s="9">
        <v>46238.985601851855</v>
      </c>
      <c r="R94" s="6">
        <v>8</v>
      </c>
      <c r="S94" s="4">
        <f t="shared" si="7"/>
        <v>0</v>
      </c>
      <c r="U94" s="6" t="s">
        <v>183</v>
      </c>
      <c r="V94" s="6" t="s">
        <v>26</v>
      </c>
      <c r="W94" s="6"/>
    </row>
    <row r="95" spans="1:23" x14ac:dyDescent="0.3">
      <c r="A95" s="3" t="s">
        <v>184</v>
      </c>
      <c r="B95" s="6" t="s">
        <v>21</v>
      </c>
      <c r="C95" s="5">
        <v>8099389567</v>
      </c>
      <c r="D95" s="5">
        <v>443662717</v>
      </c>
      <c r="E95" s="6" t="s">
        <v>74</v>
      </c>
      <c r="F95" s="6" t="s">
        <v>107</v>
      </c>
      <c r="G95" s="6">
        <v>1000000035</v>
      </c>
      <c r="H95" s="6" t="s">
        <v>24</v>
      </c>
      <c r="I95" s="6">
        <f>IF(SalesData[[#This Row],[Status of Call]]="completed",1,0)</f>
        <v>0</v>
      </c>
      <c r="J95" s="6">
        <f>1</f>
        <v>1</v>
      </c>
      <c r="K95" s="6">
        <f>SalesData[[#This Row],[Completed calls]]/SalesData[[#This Row],[Total calls]]</f>
        <v>0</v>
      </c>
      <c r="L95" s="4">
        <f t="shared" si="5"/>
        <v>1</v>
      </c>
      <c r="M95" s="4">
        <f t="shared" si="4"/>
        <v>0</v>
      </c>
      <c r="N95" s="4">
        <f t="shared" si="6"/>
        <v>0</v>
      </c>
      <c r="O95" s="7">
        <v>46239</v>
      </c>
      <c r="P95" s="9">
        <v>46239.441979166666</v>
      </c>
      <c r="Q95" s="9">
        <v>46239.44222222222</v>
      </c>
      <c r="R95" s="6">
        <v>24</v>
      </c>
      <c r="S95" s="4">
        <f t="shared" si="7"/>
        <v>0</v>
      </c>
      <c r="U95" s="6" t="s">
        <v>26</v>
      </c>
      <c r="V95" s="6" t="s">
        <v>26</v>
      </c>
      <c r="W95" s="6"/>
    </row>
    <row r="96" spans="1:23" x14ac:dyDescent="0.3">
      <c r="A96" s="3" t="s">
        <v>185</v>
      </c>
      <c r="B96" s="6" t="s">
        <v>21</v>
      </c>
      <c r="C96" s="5">
        <v>8099389567</v>
      </c>
      <c r="D96" s="5">
        <v>232227603</v>
      </c>
      <c r="E96" s="6" t="s">
        <v>140</v>
      </c>
      <c r="F96" s="6" t="s">
        <v>64</v>
      </c>
      <c r="G96" s="6">
        <v>1000000001</v>
      </c>
      <c r="H96" s="6" t="s">
        <v>32</v>
      </c>
      <c r="I96" s="6">
        <f>IF(SalesData[[#This Row],[Status of Call]]="completed",1,0)</f>
        <v>1</v>
      </c>
      <c r="J96" s="6">
        <f>1</f>
        <v>1</v>
      </c>
      <c r="K96" s="6">
        <f>SalesData[[#This Row],[Completed calls]]/SalesData[[#This Row],[Total calls]]</f>
        <v>1</v>
      </c>
      <c r="L96" s="4">
        <f t="shared" si="5"/>
        <v>1</v>
      </c>
      <c r="M96" s="4">
        <f t="shared" si="4"/>
        <v>0</v>
      </c>
      <c r="N96" s="4">
        <f t="shared" si="6"/>
        <v>1</v>
      </c>
      <c r="O96" s="7">
        <v>46239</v>
      </c>
      <c r="P96" s="9">
        <v>46239.463958333334</v>
      </c>
      <c r="Q96" s="9">
        <v>46239.469456018516</v>
      </c>
      <c r="R96" s="6">
        <v>477</v>
      </c>
      <c r="S96" s="4">
        <f t="shared" si="7"/>
        <v>0</v>
      </c>
      <c r="T96" s="6">
        <v>3.2</v>
      </c>
      <c r="U96" s="6" t="s">
        <v>26</v>
      </c>
      <c r="V96" s="6" t="s">
        <v>26</v>
      </c>
      <c r="W96" s="6"/>
    </row>
    <row r="97" spans="1:23" x14ac:dyDescent="0.3">
      <c r="A97" s="3" t="s">
        <v>186</v>
      </c>
      <c r="B97" s="6" t="s">
        <v>21</v>
      </c>
      <c r="C97" s="5">
        <v>8099389567</v>
      </c>
      <c r="D97" s="5">
        <v>811477450</v>
      </c>
      <c r="E97" s="6" t="s">
        <v>187</v>
      </c>
      <c r="F97" s="6" t="s">
        <v>41</v>
      </c>
      <c r="G97" s="6">
        <v>1000000006</v>
      </c>
      <c r="H97" s="6" t="s">
        <v>24</v>
      </c>
      <c r="I97" s="6">
        <f>IF(SalesData[[#This Row],[Status of Call]]="completed",1,0)</f>
        <v>0</v>
      </c>
      <c r="J97" s="6">
        <f>1</f>
        <v>1</v>
      </c>
      <c r="K97" s="6">
        <f>SalesData[[#This Row],[Completed calls]]/SalesData[[#This Row],[Total calls]]</f>
        <v>0</v>
      </c>
      <c r="L97" s="4">
        <f t="shared" si="5"/>
        <v>1</v>
      </c>
      <c r="M97" s="4">
        <f t="shared" si="4"/>
        <v>0</v>
      </c>
      <c r="N97" s="4">
        <f t="shared" si="6"/>
        <v>0</v>
      </c>
      <c r="O97" s="7">
        <v>46239</v>
      </c>
      <c r="P97" s="9">
        <v>46239.478634259256</v>
      </c>
      <c r="Q97" s="9">
        <v>46239.478726851848</v>
      </c>
      <c r="R97" s="6">
        <v>8</v>
      </c>
      <c r="S97" s="4">
        <f t="shared" si="7"/>
        <v>0</v>
      </c>
      <c r="U97" s="6" t="s">
        <v>188</v>
      </c>
      <c r="V97" s="6" t="s">
        <v>26</v>
      </c>
      <c r="W97" s="6"/>
    </row>
    <row r="98" spans="1:23" x14ac:dyDescent="0.3">
      <c r="A98" s="3" t="s">
        <v>189</v>
      </c>
      <c r="B98" s="6" t="s">
        <v>21</v>
      </c>
      <c r="C98" s="5">
        <v>8099389567</v>
      </c>
      <c r="D98" s="5">
        <v>924776704</v>
      </c>
      <c r="E98" s="6" t="s">
        <v>80</v>
      </c>
      <c r="F98" s="6" t="s">
        <v>31</v>
      </c>
      <c r="G98" s="6">
        <v>1000000016</v>
      </c>
      <c r="H98" s="6" t="s">
        <v>24</v>
      </c>
      <c r="I98" s="6">
        <f>IF(SalesData[[#This Row],[Status of Call]]="completed",1,0)</f>
        <v>0</v>
      </c>
      <c r="J98" s="6">
        <f>1</f>
        <v>1</v>
      </c>
      <c r="K98" s="6">
        <f>SalesData[[#This Row],[Completed calls]]/SalesData[[#This Row],[Total calls]]</f>
        <v>0</v>
      </c>
      <c r="L98" s="4">
        <f t="shared" si="5"/>
        <v>1</v>
      </c>
      <c r="M98" s="4">
        <f t="shared" si="4"/>
        <v>0</v>
      </c>
      <c r="N98" s="4">
        <f t="shared" si="6"/>
        <v>0</v>
      </c>
      <c r="O98" s="7">
        <v>46239</v>
      </c>
      <c r="P98" s="9">
        <v>46239.484652777777</v>
      </c>
      <c r="Q98" s="9">
        <v>46239.4846875</v>
      </c>
      <c r="R98" s="6">
        <v>4</v>
      </c>
      <c r="S98" s="4">
        <f t="shared" si="7"/>
        <v>0</v>
      </c>
      <c r="U98" s="6" t="s">
        <v>26</v>
      </c>
      <c r="V98" s="6" t="s">
        <v>26</v>
      </c>
      <c r="W98" s="6"/>
    </row>
    <row r="99" spans="1:23" x14ac:dyDescent="0.3">
      <c r="A99" s="3" t="s">
        <v>190</v>
      </c>
      <c r="B99" s="6" t="s">
        <v>21</v>
      </c>
      <c r="C99" s="5">
        <v>8099389567</v>
      </c>
      <c r="D99" s="5">
        <v>577932950</v>
      </c>
      <c r="E99" s="6" t="s">
        <v>101</v>
      </c>
      <c r="F99" s="6" t="s">
        <v>54</v>
      </c>
      <c r="G99" s="6">
        <v>1000000011</v>
      </c>
      <c r="H99" s="6" t="s">
        <v>24</v>
      </c>
      <c r="I99" s="6">
        <f>IF(SalesData[[#This Row],[Status of Call]]="completed",1,0)</f>
        <v>0</v>
      </c>
      <c r="J99" s="6">
        <f>1</f>
        <v>1</v>
      </c>
      <c r="K99" s="6">
        <f>SalesData[[#This Row],[Completed calls]]/SalesData[[#This Row],[Total calls]]</f>
        <v>0</v>
      </c>
      <c r="L99" s="4">
        <f t="shared" si="5"/>
        <v>1</v>
      </c>
      <c r="M99" s="4">
        <f t="shared" si="4"/>
        <v>0</v>
      </c>
      <c r="N99" s="4">
        <f t="shared" si="6"/>
        <v>0</v>
      </c>
      <c r="O99" s="7">
        <v>46239</v>
      </c>
      <c r="P99" s="9">
        <v>46239.495196759257</v>
      </c>
      <c r="Q99" s="9">
        <v>46239.495312500003</v>
      </c>
      <c r="R99" s="6">
        <v>11</v>
      </c>
      <c r="S99" s="4">
        <f t="shared" si="7"/>
        <v>0</v>
      </c>
      <c r="U99" s="6" t="s">
        <v>26</v>
      </c>
      <c r="V99" s="6" t="s">
        <v>26</v>
      </c>
      <c r="W99" s="6"/>
    </row>
    <row r="100" spans="1:23" x14ac:dyDescent="0.3">
      <c r="A100" s="3" t="s">
        <v>191</v>
      </c>
      <c r="B100" s="6" t="s">
        <v>21</v>
      </c>
      <c r="C100" s="5">
        <v>8099389567</v>
      </c>
      <c r="D100" s="5">
        <v>278610949</v>
      </c>
      <c r="E100" s="6" t="s">
        <v>77</v>
      </c>
      <c r="F100" s="6" t="s">
        <v>192</v>
      </c>
      <c r="G100" s="6">
        <v>1000000027</v>
      </c>
      <c r="H100" s="6" t="s">
        <v>32</v>
      </c>
      <c r="I100" s="6">
        <f>IF(SalesData[[#This Row],[Status of Call]]="completed",1,0)</f>
        <v>1</v>
      </c>
      <c r="J100" s="6">
        <f>1</f>
        <v>1</v>
      </c>
      <c r="K100" s="6">
        <f>SalesData[[#This Row],[Completed calls]]/SalesData[[#This Row],[Total calls]]</f>
        <v>1</v>
      </c>
      <c r="L100" s="4">
        <f t="shared" si="5"/>
        <v>1</v>
      </c>
      <c r="M100" s="4">
        <f t="shared" si="4"/>
        <v>0</v>
      </c>
      <c r="N100" s="4">
        <f t="shared" si="6"/>
        <v>1</v>
      </c>
      <c r="O100" s="7">
        <v>46239</v>
      </c>
      <c r="P100" s="9">
        <v>46239.502013888887</v>
      </c>
      <c r="Q100" s="9">
        <v>46239.502962962964</v>
      </c>
      <c r="R100" s="6">
        <v>83</v>
      </c>
      <c r="S100" s="4">
        <f t="shared" si="7"/>
        <v>0</v>
      </c>
      <c r="T100" s="6">
        <v>0.4</v>
      </c>
      <c r="U100" s="6" t="s">
        <v>26</v>
      </c>
      <c r="V100" s="6" t="s">
        <v>26</v>
      </c>
      <c r="W100" s="6"/>
    </row>
    <row r="101" spans="1:23" x14ac:dyDescent="0.3">
      <c r="A101" s="3" t="s">
        <v>193</v>
      </c>
      <c r="B101" s="6" t="s">
        <v>21</v>
      </c>
      <c r="C101" s="5">
        <v>8099389567</v>
      </c>
      <c r="D101" s="5">
        <v>304740584</v>
      </c>
      <c r="E101" s="6" t="s">
        <v>48</v>
      </c>
      <c r="F101" s="6" t="s">
        <v>117</v>
      </c>
      <c r="G101" s="6">
        <v>1000000032</v>
      </c>
      <c r="H101" s="6" t="s">
        <v>24</v>
      </c>
      <c r="I101" s="6">
        <f>IF(SalesData[[#This Row],[Status of Call]]="completed",1,0)</f>
        <v>0</v>
      </c>
      <c r="J101" s="6">
        <f>1</f>
        <v>1</v>
      </c>
      <c r="K101" s="6">
        <f>SalesData[[#This Row],[Completed calls]]/SalesData[[#This Row],[Total calls]]</f>
        <v>0</v>
      </c>
      <c r="L101" s="4">
        <f t="shared" si="5"/>
        <v>1</v>
      </c>
      <c r="M101" s="4">
        <f t="shared" si="4"/>
        <v>0</v>
      </c>
      <c r="N101" s="4">
        <f t="shared" si="6"/>
        <v>0</v>
      </c>
      <c r="O101" s="7">
        <v>46239</v>
      </c>
      <c r="P101" s="9">
        <v>46239.503738425927</v>
      </c>
      <c r="Q101" s="9">
        <v>46239.503784722219</v>
      </c>
      <c r="R101" s="6">
        <v>4</v>
      </c>
      <c r="S101" s="4">
        <f t="shared" si="7"/>
        <v>0</v>
      </c>
      <c r="U101" s="6" t="s">
        <v>188</v>
      </c>
      <c r="V101" s="6" t="s">
        <v>26</v>
      </c>
      <c r="W101" s="6"/>
    </row>
    <row r="102" spans="1:23" x14ac:dyDescent="0.3">
      <c r="A102" s="3" t="s">
        <v>194</v>
      </c>
      <c r="B102" s="6" t="s">
        <v>21</v>
      </c>
      <c r="C102" s="5">
        <v>8099389567</v>
      </c>
      <c r="D102" s="5">
        <v>866730538</v>
      </c>
      <c r="E102" s="6" t="s">
        <v>195</v>
      </c>
      <c r="F102" s="6" t="s">
        <v>124</v>
      </c>
      <c r="G102" s="6">
        <v>1000000031</v>
      </c>
      <c r="H102" s="6" t="s">
        <v>32</v>
      </c>
      <c r="I102" s="6">
        <f>IF(SalesData[[#This Row],[Status of Call]]="completed",1,0)</f>
        <v>1</v>
      </c>
      <c r="J102" s="6">
        <f>1</f>
        <v>1</v>
      </c>
      <c r="K102" s="6">
        <f>SalesData[[#This Row],[Completed calls]]/SalesData[[#This Row],[Total calls]]</f>
        <v>1</v>
      </c>
      <c r="L102" s="4">
        <f t="shared" si="5"/>
        <v>1</v>
      </c>
      <c r="M102" s="4">
        <f t="shared" si="4"/>
        <v>0</v>
      </c>
      <c r="N102" s="4">
        <f t="shared" si="6"/>
        <v>1</v>
      </c>
      <c r="O102" s="7">
        <v>46239</v>
      </c>
      <c r="P102" s="9">
        <v>46239.503750000003</v>
      </c>
      <c r="Q102" s="9">
        <v>46239.511493055557</v>
      </c>
      <c r="R102" s="6">
        <v>670</v>
      </c>
      <c r="S102" s="4">
        <f t="shared" si="7"/>
        <v>0</v>
      </c>
      <c r="T102" s="6">
        <v>4.4000000000000004</v>
      </c>
      <c r="U102" s="6" t="s">
        <v>26</v>
      </c>
      <c r="V102" s="6" t="s">
        <v>26</v>
      </c>
      <c r="W102" s="6"/>
    </row>
    <row r="103" spans="1:23" x14ac:dyDescent="0.3">
      <c r="A103" s="3" t="s">
        <v>196</v>
      </c>
      <c r="B103" s="6" t="s">
        <v>21</v>
      </c>
      <c r="C103" s="5">
        <v>8099389567</v>
      </c>
      <c r="D103" s="5">
        <v>237128316</v>
      </c>
      <c r="E103" s="6" t="s">
        <v>197</v>
      </c>
      <c r="F103" s="6" t="s">
        <v>23</v>
      </c>
      <c r="G103" s="6">
        <v>1000000014</v>
      </c>
      <c r="H103" s="6" t="s">
        <v>32</v>
      </c>
      <c r="I103" s="6">
        <f>IF(SalesData[[#This Row],[Status of Call]]="completed",1,0)</f>
        <v>1</v>
      </c>
      <c r="J103" s="6">
        <f>1</f>
        <v>1</v>
      </c>
      <c r="K103" s="6">
        <f>SalesData[[#This Row],[Completed calls]]/SalesData[[#This Row],[Total calls]]</f>
        <v>1</v>
      </c>
      <c r="L103" s="4">
        <f t="shared" si="5"/>
        <v>1</v>
      </c>
      <c r="M103" s="4">
        <f t="shared" si="4"/>
        <v>0</v>
      </c>
      <c r="N103" s="4">
        <f t="shared" si="6"/>
        <v>1</v>
      </c>
      <c r="O103" s="7">
        <v>46239</v>
      </c>
      <c r="P103" s="9">
        <v>46239.504444444443</v>
      </c>
      <c r="Q103" s="9">
        <v>46239.506435185183</v>
      </c>
      <c r="R103" s="6">
        <v>173</v>
      </c>
      <c r="S103" s="4">
        <f t="shared" si="7"/>
        <v>0</v>
      </c>
      <c r="T103" s="6">
        <v>1.2</v>
      </c>
      <c r="U103" s="6" t="s">
        <v>26</v>
      </c>
      <c r="V103" s="6" t="s">
        <v>26</v>
      </c>
      <c r="W103" s="6"/>
    </row>
    <row r="104" spans="1:23" x14ac:dyDescent="0.3">
      <c r="A104" s="3" t="s">
        <v>198</v>
      </c>
      <c r="B104" s="6" t="s">
        <v>21</v>
      </c>
      <c r="C104" s="5">
        <v>8099389567</v>
      </c>
      <c r="D104" s="5">
        <v>750485401</v>
      </c>
      <c r="E104" s="6" t="s">
        <v>86</v>
      </c>
      <c r="F104" s="6" t="s">
        <v>132</v>
      </c>
      <c r="G104" s="6">
        <v>1000000026</v>
      </c>
      <c r="H104" s="6" t="s">
        <v>24</v>
      </c>
      <c r="I104" s="6">
        <f>IF(SalesData[[#This Row],[Status of Call]]="completed",1,0)</f>
        <v>0</v>
      </c>
      <c r="J104" s="6">
        <f>1</f>
        <v>1</v>
      </c>
      <c r="K104" s="6">
        <f>SalesData[[#This Row],[Completed calls]]/SalesData[[#This Row],[Total calls]]</f>
        <v>0</v>
      </c>
      <c r="L104" s="4">
        <f t="shared" si="5"/>
        <v>1</v>
      </c>
      <c r="M104" s="4">
        <f t="shared" si="4"/>
        <v>0</v>
      </c>
      <c r="N104" s="4">
        <f t="shared" si="6"/>
        <v>0</v>
      </c>
      <c r="O104" s="7">
        <v>46239</v>
      </c>
      <c r="P104" s="9">
        <v>46239.512372685182</v>
      </c>
      <c r="Q104" s="9">
        <v>46239.512476851851</v>
      </c>
      <c r="R104" s="6">
        <v>9</v>
      </c>
      <c r="S104" s="4">
        <f t="shared" si="7"/>
        <v>0</v>
      </c>
      <c r="U104" s="6" t="s">
        <v>199</v>
      </c>
      <c r="V104" s="6" t="s">
        <v>26</v>
      </c>
      <c r="W104" s="6"/>
    </row>
    <row r="105" spans="1:23" x14ac:dyDescent="0.3">
      <c r="A105" s="3" t="s">
        <v>200</v>
      </c>
      <c r="B105" s="6" t="s">
        <v>21</v>
      </c>
      <c r="C105" s="5">
        <v>8099389567</v>
      </c>
      <c r="D105" s="5">
        <v>49249397</v>
      </c>
      <c r="E105" s="6" t="s">
        <v>195</v>
      </c>
      <c r="F105" s="6" t="s">
        <v>45</v>
      </c>
      <c r="G105" s="6">
        <v>1000000004</v>
      </c>
      <c r="H105" s="6" t="s">
        <v>24</v>
      </c>
      <c r="I105" s="6">
        <f>IF(SalesData[[#This Row],[Status of Call]]="completed",1,0)</f>
        <v>0</v>
      </c>
      <c r="J105" s="6">
        <f>1</f>
        <v>1</v>
      </c>
      <c r="K105" s="6">
        <f>SalesData[[#This Row],[Completed calls]]/SalesData[[#This Row],[Total calls]]</f>
        <v>0</v>
      </c>
      <c r="L105" s="4">
        <f t="shared" si="5"/>
        <v>1</v>
      </c>
      <c r="M105" s="4">
        <f t="shared" si="4"/>
        <v>0</v>
      </c>
      <c r="N105" s="4">
        <f t="shared" si="6"/>
        <v>0</v>
      </c>
      <c r="O105" s="7">
        <v>46239</v>
      </c>
      <c r="P105" s="9">
        <v>46239.513252314813</v>
      </c>
      <c r="Q105" s="9">
        <v>46239.513368055559</v>
      </c>
      <c r="R105" s="6">
        <v>10</v>
      </c>
      <c r="S105" s="4">
        <f t="shared" si="7"/>
        <v>0</v>
      </c>
      <c r="U105" s="6" t="s">
        <v>199</v>
      </c>
      <c r="V105" s="6" t="s">
        <v>26</v>
      </c>
      <c r="W105" s="6"/>
    </row>
    <row r="106" spans="1:23" x14ac:dyDescent="0.3">
      <c r="A106" s="3" t="s">
        <v>201</v>
      </c>
      <c r="B106" s="6" t="s">
        <v>21</v>
      </c>
      <c r="C106" s="5">
        <v>8099389567</v>
      </c>
      <c r="D106" s="5">
        <v>917351347</v>
      </c>
      <c r="E106" s="6" t="s">
        <v>80</v>
      </c>
      <c r="F106" s="6" t="s">
        <v>54</v>
      </c>
      <c r="G106" s="6">
        <v>1000000011</v>
      </c>
      <c r="H106" s="6" t="s">
        <v>24</v>
      </c>
      <c r="I106" s="6">
        <f>IF(SalesData[[#This Row],[Status of Call]]="completed",1,0)</f>
        <v>0</v>
      </c>
      <c r="J106" s="6">
        <f>1</f>
        <v>1</v>
      </c>
      <c r="K106" s="6">
        <f>SalesData[[#This Row],[Completed calls]]/SalesData[[#This Row],[Total calls]]</f>
        <v>0</v>
      </c>
      <c r="L106" s="4">
        <f t="shared" si="5"/>
        <v>1</v>
      </c>
      <c r="M106" s="4">
        <f t="shared" si="4"/>
        <v>0</v>
      </c>
      <c r="N106" s="4">
        <f t="shared" si="6"/>
        <v>0</v>
      </c>
      <c r="O106" s="7">
        <v>46239</v>
      </c>
      <c r="P106" s="9">
        <v>46239.522962962961</v>
      </c>
      <c r="Q106" s="9">
        <v>46239.522905092592</v>
      </c>
      <c r="R106" s="6">
        <v>2</v>
      </c>
      <c r="S106" s="4">
        <f t="shared" si="7"/>
        <v>0</v>
      </c>
      <c r="U106" s="6" t="s">
        <v>188</v>
      </c>
      <c r="V106" s="6" t="s">
        <v>26</v>
      </c>
      <c r="W106" s="6"/>
    </row>
    <row r="107" spans="1:23" x14ac:dyDescent="0.3">
      <c r="A107" s="3" t="s">
        <v>202</v>
      </c>
      <c r="B107" s="6" t="s">
        <v>21</v>
      </c>
      <c r="C107" s="5">
        <v>8099389567</v>
      </c>
      <c r="D107" s="5">
        <v>266303402</v>
      </c>
      <c r="E107" s="6" t="s">
        <v>187</v>
      </c>
      <c r="F107" s="6" t="s">
        <v>203</v>
      </c>
      <c r="G107" s="6">
        <v>1000000025</v>
      </c>
      <c r="H107" s="6" t="s">
        <v>24</v>
      </c>
      <c r="I107" s="6">
        <f>IF(SalesData[[#This Row],[Status of Call]]="completed",1,0)</f>
        <v>0</v>
      </c>
      <c r="J107" s="6">
        <f>1</f>
        <v>1</v>
      </c>
      <c r="K107" s="6">
        <f>SalesData[[#This Row],[Completed calls]]/SalesData[[#This Row],[Total calls]]</f>
        <v>0</v>
      </c>
      <c r="L107" s="4">
        <f t="shared" si="5"/>
        <v>1</v>
      </c>
      <c r="M107" s="4">
        <f t="shared" si="4"/>
        <v>0</v>
      </c>
      <c r="N107" s="4">
        <f t="shared" si="6"/>
        <v>0</v>
      </c>
      <c r="O107" s="7">
        <v>46239</v>
      </c>
      <c r="P107" s="9">
        <v>46239.572534722225</v>
      </c>
      <c r="Q107" s="9">
        <v>46239.572557870371</v>
      </c>
      <c r="R107" s="6">
        <v>3</v>
      </c>
      <c r="S107" s="4">
        <f t="shared" si="7"/>
        <v>0</v>
      </c>
      <c r="U107" s="6" t="s">
        <v>26</v>
      </c>
      <c r="V107" s="6" t="s">
        <v>26</v>
      </c>
      <c r="W107" s="6"/>
    </row>
    <row r="108" spans="1:23" x14ac:dyDescent="0.3">
      <c r="A108" s="3" t="s">
        <v>204</v>
      </c>
      <c r="B108" s="6" t="s">
        <v>21</v>
      </c>
      <c r="C108" s="5">
        <v>8099389567</v>
      </c>
      <c r="D108" s="5">
        <v>124879780</v>
      </c>
      <c r="E108" s="6" t="s">
        <v>187</v>
      </c>
      <c r="F108" s="6" t="s">
        <v>64</v>
      </c>
      <c r="G108" s="6">
        <v>1000000001</v>
      </c>
      <c r="H108" s="6" t="s">
        <v>24</v>
      </c>
      <c r="I108" s="6">
        <f>IF(SalesData[[#This Row],[Status of Call]]="completed",1,0)</f>
        <v>0</v>
      </c>
      <c r="J108" s="6">
        <f>1</f>
        <v>1</v>
      </c>
      <c r="K108" s="6">
        <f>SalesData[[#This Row],[Completed calls]]/SalesData[[#This Row],[Total calls]]</f>
        <v>0</v>
      </c>
      <c r="L108" s="4">
        <f t="shared" si="5"/>
        <v>1</v>
      </c>
      <c r="M108" s="4">
        <f t="shared" si="4"/>
        <v>0</v>
      </c>
      <c r="N108" s="4">
        <f t="shared" si="6"/>
        <v>0</v>
      </c>
      <c r="O108" s="7">
        <v>46239</v>
      </c>
      <c r="P108" s="9">
        <v>46239.5778587963</v>
      </c>
      <c r="Q108" s="9">
        <v>46239.577962962961</v>
      </c>
      <c r="R108" s="6">
        <v>10</v>
      </c>
      <c r="S108" s="4">
        <f t="shared" si="7"/>
        <v>0</v>
      </c>
      <c r="U108" s="6" t="s">
        <v>26</v>
      </c>
      <c r="V108" s="6" t="s">
        <v>26</v>
      </c>
      <c r="W108" s="6"/>
    </row>
    <row r="109" spans="1:23" x14ac:dyDescent="0.3">
      <c r="A109" s="3" t="s">
        <v>205</v>
      </c>
      <c r="B109" s="6" t="s">
        <v>21</v>
      </c>
      <c r="C109" s="5">
        <v>8099389567</v>
      </c>
      <c r="D109" s="5">
        <v>588549332</v>
      </c>
      <c r="E109" s="6" t="s">
        <v>97</v>
      </c>
      <c r="F109" s="6" t="s">
        <v>75</v>
      </c>
      <c r="G109" s="6">
        <v>1000000030</v>
      </c>
      <c r="H109" s="6" t="s">
        <v>24</v>
      </c>
      <c r="I109" s="6">
        <f>IF(SalesData[[#This Row],[Status of Call]]="completed",1,0)</f>
        <v>0</v>
      </c>
      <c r="J109" s="6">
        <f>1</f>
        <v>1</v>
      </c>
      <c r="K109" s="6">
        <f>SalesData[[#This Row],[Completed calls]]/SalesData[[#This Row],[Total calls]]</f>
        <v>0</v>
      </c>
      <c r="L109" s="4">
        <f t="shared" si="5"/>
        <v>1</v>
      </c>
      <c r="M109" s="4">
        <f t="shared" si="4"/>
        <v>0</v>
      </c>
      <c r="N109" s="4">
        <f t="shared" si="6"/>
        <v>0</v>
      </c>
      <c r="O109" s="7">
        <v>46239</v>
      </c>
      <c r="P109" s="9">
        <v>46239.586215277777</v>
      </c>
      <c r="Q109" s="9">
        <v>46239.586365740739</v>
      </c>
      <c r="R109" s="6">
        <v>14</v>
      </c>
      <c r="S109" s="4">
        <f t="shared" si="7"/>
        <v>0</v>
      </c>
      <c r="U109" s="6" t="s">
        <v>206</v>
      </c>
      <c r="V109" s="6" t="s">
        <v>26</v>
      </c>
      <c r="W109" s="6"/>
    </row>
    <row r="110" spans="1:23" x14ac:dyDescent="0.3">
      <c r="A110" s="3" t="s">
        <v>207</v>
      </c>
      <c r="B110" s="10" t="s">
        <v>21</v>
      </c>
      <c r="C110" s="5">
        <v>8099389567</v>
      </c>
      <c r="D110" s="5">
        <v>172121746</v>
      </c>
      <c r="E110" s="6" t="s">
        <v>74</v>
      </c>
      <c r="F110" s="10" t="s">
        <v>82</v>
      </c>
      <c r="G110" s="10">
        <v>1000000033</v>
      </c>
      <c r="H110" s="10" t="s">
        <v>32</v>
      </c>
      <c r="I110" s="10">
        <f>IF(SalesData[[#This Row],[Status of Call]]="completed",1,0)</f>
        <v>1</v>
      </c>
      <c r="J110" s="10">
        <f>1</f>
        <v>1</v>
      </c>
      <c r="K110" s="10">
        <f>SalesData[[#This Row],[Completed calls]]/SalesData[[#This Row],[Total calls]]</f>
        <v>1</v>
      </c>
      <c r="L110" s="4">
        <f t="shared" si="5"/>
        <v>1</v>
      </c>
      <c r="M110" s="4">
        <f t="shared" si="4"/>
        <v>0</v>
      </c>
      <c r="N110" s="4">
        <f t="shared" si="6"/>
        <v>1</v>
      </c>
      <c r="O110" s="7">
        <v>46236</v>
      </c>
      <c r="P110" s="9">
        <v>46236.471724537034</v>
      </c>
      <c r="Q110" s="9">
        <v>46236.485520833332</v>
      </c>
      <c r="R110" s="10">
        <v>1193</v>
      </c>
      <c r="S110" s="4">
        <f t="shared" si="7"/>
        <v>0</v>
      </c>
      <c r="T110" s="10">
        <v>8</v>
      </c>
      <c r="U110" s="10" t="s">
        <v>26</v>
      </c>
      <c r="V110" s="10" t="s">
        <v>26</v>
      </c>
      <c r="W110" s="6"/>
    </row>
    <row r="111" spans="1:23" x14ac:dyDescent="0.3">
      <c r="A111" s="3" t="s">
        <v>208</v>
      </c>
      <c r="B111" s="6" t="s">
        <v>21</v>
      </c>
      <c r="C111" s="5">
        <v>8099389567</v>
      </c>
      <c r="D111" s="5">
        <v>227053758</v>
      </c>
      <c r="E111" s="6" t="s">
        <v>74</v>
      </c>
      <c r="F111" s="6" t="s">
        <v>152</v>
      </c>
      <c r="G111" s="6">
        <v>1000000036</v>
      </c>
      <c r="H111" s="6" t="s">
        <v>32</v>
      </c>
      <c r="I111" s="6">
        <f>IF(SalesData[[#This Row],[Status of Call]]="completed",1,0)</f>
        <v>1</v>
      </c>
      <c r="J111" s="6">
        <f>1</f>
        <v>1</v>
      </c>
      <c r="K111" s="6">
        <f>SalesData[[#This Row],[Completed calls]]/SalesData[[#This Row],[Total calls]]</f>
        <v>1</v>
      </c>
      <c r="L111" s="4">
        <f t="shared" si="5"/>
        <v>1</v>
      </c>
      <c r="M111" s="4">
        <f t="shared" si="4"/>
        <v>0</v>
      </c>
      <c r="N111" s="4">
        <f t="shared" si="6"/>
        <v>1</v>
      </c>
      <c r="O111" s="7">
        <v>46239</v>
      </c>
      <c r="P111" s="9">
        <v>46239.592118055552</v>
      </c>
      <c r="Q111" s="9">
        <v>46239.593090277776</v>
      </c>
      <c r="R111" s="6">
        <v>85</v>
      </c>
      <c r="S111" s="4">
        <f t="shared" si="7"/>
        <v>0</v>
      </c>
      <c r="T111" s="6">
        <v>0.4</v>
      </c>
      <c r="U111" s="6" t="s">
        <v>206</v>
      </c>
      <c r="V111" s="6" t="s">
        <v>26</v>
      </c>
      <c r="W111" s="6"/>
    </row>
    <row r="112" spans="1:23" x14ac:dyDescent="0.3">
      <c r="A112" s="3" t="s">
        <v>209</v>
      </c>
      <c r="B112" s="6" t="s">
        <v>21</v>
      </c>
      <c r="C112" s="5">
        <v>8099389567</v>
      </c>
      <c r="D112" s="5">
        <v>106635590</v>
      </c>
      <c r="E112" s="6" t="s">
        <v>84</v>
      </c>
      <c r="F112" s="6" t="s">
        <v>44</v>
      </c>
      <c r="G112" s="6">
        <v>1000000010</v>
      </c>
      <c r="H112" s="6" t="s">
        <v>49</v>
      </c>
      <c r="I112" s="6">
        <f>IF(SalesData[[#This Row],[Status of Call]]="completed",1,0)</f>
        <v>0</v>
      </c>
      <c r="J112" s="6">
        <f>1</f>
        <v>1</v>
      </c>
      <c r="K112" s="6">
        <f>SalesData[[#This Row],[Completed calls]]/SalesData[[#This Row],[Total calls]]</f>
        <v>0</v>
      </c>
      <c r="L112" s="4">
        <f t="shared" si="5"/>
        <v>1</v>
      </c>
      <c r="M112" s="4">
        <f t="shared" si="4"/>
        <v>0</v>
      </c>
      <c r="N112" s="4">
        <f t="shared" si="6"/>
        <v>0</v>
      </c>
      <c r="O112" s="7">
        <v>46239</v>
      </c>
      <c r="P112" s="9">
        <v>46239.606377314813</v>
      </c>
      <c r="Q112" s="9">
        <v>46239.606793981482</v>
      </c>
      <c r="R112" s="6">
        <v>38</v>
      </c>
      <c r="S112" s="4">
        <f t="shared" si="7"/>
        <v>1</v>
      </c>
      <c r="U112" s="6" t="s">
        <v>163</v>
      </c>
      <c r="V112" s="6" t="s">
        <v>26</v>
      </c>
      <c r="W112" s="6"/>
    </row>
    <row r="113" spans="1:23" x14ac:dyDescent="0.3">
      <c r="A113" s="3" t="s">
        <v>210</v>
      </c>
      <c r="B113" s="6" t="s">
        <v>21</v>
      </c>
      <c r="C113" s="5">
        <v>8099389567</v>
      </c>
      <c r="D113" s="5">
        <v>532967169</v>
      </c>
      <c r="E113" s="6" t="s">
        <v>195</v>
      </c>
      <c r="F113" s="6" t="s">
        <v>95</v>
      </c>
      <c r="G113" s="6">
        <v>1000000013</v>
      </c>
      <c r="H113" s="6" t="s">
        <v>24</v>
      </c>
      <c r="I113" s="6">
        <f>IF(SalesData[[#This Row],[Status of Call]]="completed",1,0)</f>
        <v>0</v>
      </c>
      <c r="J113" s="6">
        <f>1</f>
        <v>1</v>
      </c>
      <c r="K113" s="6">
        <f>SalesData[[#This Row],[Completed calls]]/SalesData[[#This Row],[Total calls]]</f>
        <v>0</v>
      </c>
      <c r="L113" s="4">
        <f t="shared" si="5"/>
        <v>1</v>
      </c>
      <c r="M113" s="4">
        <f t="shared" si="4"/>
        <v>0</v>
      </c>
      <c r="N113" s="4">
        <f t="shared" si="6"/>
        <v>0</v>
      </c>
      <c r="O113" s="7">
        <v>46239</v>
      </c>
      <c r="P113" s="9">
        <v>46239.606828703705</v>
      </c>
      <c r="Q113" s="9">
        <v>46239.606851851851</v>
      </c>
      <c r="R113" s="6">
        <v>3</v>
      </c>
      <c r="S113" s="4">
        <f t="shared" si="7"/>
        <v>0</v>
      </c>
      <c r="U113" s="6" t="s">
        <v>163</v>
      </c>
      <c r="V113" s="6" t="s">
        <v>26</v>
      </c>
      <c r="W113" s="6"/>
    </row>
    <row r="114" spans="1:23" x14ac:dyDescent="0.3">
      <c r="A114" s="3" t="s">
        <v>211</v>
      </c>
      <c r="B114" s="6" t="s">
        <v>21</v>
      </c>
      <c r="C114" s="5">
        <v>8099389567</v>
      </c>
      <c r="D114" s="5">
        <v>596056386</v>
      </c>
      <c r="E114" s="6" t="s">
        <v>44</v>
      </c>
      <c r="F114" s="6" t="s">
        <v>212</v>
      </c>
      <c r="G114" s="6">
        <v>1000000019</v>
      </c>
      <c r="H114" s="6" t="s">
        <v>24</v>
      </c>
      <c r="I114" s="6">
        <f>IF(SalesData[[#This Row],[Status of Call]]="completed",1,0)</f>
        <v>0</v>
      </c>
      <c r="J114" s="6">
        <f>1</f>
        <v>1</v>
      </c>
      <c r="K114" s="6">
        <f>SalesData[[#This Row],[Completed calls]]/SalesData[[#This Row],[Total calls]]</f>
        <v>0</v>
      </c>
      <c r="L114" s="4">
        <f t="shared" si="5"/>
        <v>1</v>
      </c>
      <c r="M114" s="4">
        <f t="shared" si="4"/>
        <v>0</v>
      </c>
      <c r="N114" s="4">
        <f t="shared" si="6"/>
        <v>0</v>
      </c>
      <c r="O114" s="7">
        <v>46239</v>
      </c>
      <c r="P114" s="9">
        <v>46239.627002314817</v>
      </c>
      <c r="Q114" s="9">
        <v>46239.62703703704</v>
      </c>
      <c r="R114" s="6">
        <v>4</v>
      </c>
      <c r="S114" s="4">
        <f t="shared" si="7"/>
        <v>0</v>
      </c>
      <c r="U114" s="6" t="s">
        <v>26</v>
      </c>
      <c r="V114" s="6" t="s">
        <v>26</v>
      </c>
      <c r="W114" s="6"/>
    </row>
    <row r="115" spans="1:23" x14ac:dyDescent="0.3">
      <c r="A115" s="3" t="s">
        <v>213</v>
      </c>
      <c r="B115" s="6" t="s">
        <v>21</v>
      </c>
      <c r="C115" s="5">
        <v>8099389567</v>
      </c>
      <c r="D115" s="5">
        <v>900613067</v>
      </c>
      <c r="E115" s="6" t="s">
        <v>101</v>
      </c>
      <c r="F115" s="6" t="s">
        <v>45</v>
      </c>
      <c r="G115" s="6">
        <v>1000000004</v>
      </c>
      <c r="H115" s="6" t="s">
        <v>32</v>
      </c>
      <c r="I115" s="6">
        <f>IF(SalesData[[#This Row],[Status of Call]]="completed",1,0)</f>
        <v>1</v>
      </c>
      <c r="J115" s="6">
        <f>1</f>
        <v>1</v>
      </c>
      <c r="K115" s="6">
        <f>SalesData[[#This Row],[Completed calls]]/SalesData[[#This Row],[Total calls]]</f>
        <v>1</v>
      </c>
      <c r="L115" s="4">
        <f t="shared" si="5"/>
        <v>1</v>
      </c>
      <c r="M115" s="4">
        <f t="shared" si="4"/>
        <v>0</v>
      </c>
      <c r="N115" s="4">
        <f t="shared" si="6"/>
        <v>1</v>
      </c>
      <c r="O115" s="7">
        <v>46239</v>
      </c>
      <c r="P115" s="9">
        <v>46239.673750000002</v>
      </c>
      <c r="Q115" s="9">
        <v>46239.680231481485</v>
      </c>
      <c r="R115" s="6">
        <v>563</v>
      </c>
      <c r="S115" s="4">
        <f t="shared" si="7"/>
        <v>0</v>
      </c>
      <c r="T115" s="6">
        <v>3.6</v>
      </c>
      <c r="U115" s="6" t="s">
        <v>26</v>
      </c>
      <c r="V115" s="6" t="s">
        <v>26</v>
      </c>
      <c r="W115" s="6"/>
    </row>
    <row r="116" spans="1:23" x14ac:dyDescent="0.3">
      <c r="A116" s="3" t="s">
        <v>214</v>
      </c>
      <c r="B116" s="6" t="s">
        <v>21</v>
      </c>
      <c r="C116" s="5">
        <v>8099389567</v>
      </c>
      <c r="D116" s="5">
        <v>479161242</v>
      </c>
      <c r="E116" s="6" t="s">
        <v>195</v>
      </c>
      <c r="F116" s="6" t="s">
        <v>150</v>
      </c>
      <c r="G116" s="6">
        <v>1000000038</v>
      </c>
      <c r="H116" s="6" t="s">
        <v>32</v>
      </c>
      <c r="I116" s="6">
        <f>IF(SalesData[[#This Row],[Status of Call]]="completed",1,0)</f>
        <v>1</v>
      </c>
      <c r="J116" s="6">
        <f>1</f>
        <v>1</v>
      </c>
      <c r="K116" s="6">
        <f>SalesData[[#This Row],[Completed calls]]/SalesData[[#This Row],[Total calls]]</f>
        <v>1</v>
      </c>
      <c r="L116" s="4">
        <f t="shared" si="5"/>
        <v>1</v>
      </c>
      <c r="M116" s="4">
        <f t="shared" si="4"/>
        <v>0</v>
      </c>
      <c r="N116" s="4">
        <f t="shared" si="6"/>
        <v>1</v>
      </c>
      <c r="O116" s="7">
        <v>46239</v>
      </c>
      <c r="P116" s="9">
        <v>46239.680289351854</v>
      </c>
      <c r="Q116" s="9">
        <v>46239.685289351852</v>
      </c>
      <c r="R116" s="6">
        <v>433</v>
      </c>
      <c r="S116" s="4">
        <f t="shared" si="7"/>
        <v>0</v>
      </c>
      <c r="T116" s="6">
        <v>2.4</v>
      </c>
      <c r="U116" s="6" t="s">
        <v>26</v>
      </c>
      <c r="V116" s="6" t="s">
        <v>26</v>
      </c>
      <c r="W116" s="6"/>
    </row>
    <row r="117" spans="1:23" x14ac:dyDescent="0.3">
      <c r="A117" s="3" t="s">
        <v>215</v>
      </c>
      <c r="B117" s="6" t="s">
        <v>21</v>
      </c>
      <c r="C117" s="5">
        <v>8099389567</v>
      </c>
      <c r="D117" s="5">
        <v>534167917</v>
      </c>
      <c r="E117" s="6" t="s">
        <v>28</v>
      </c>
      <c r="F117" s="6" t="s">
        <v>124</v>
      </c>
      <c r="G117" s="6">
        <v>1000000031</v>
      </c>
      <c r="H117" s="6" t="s">
        <v>32</v>
      </c>
      <c r="I117" s="6">
        <f>IF(SalesData[[#This Row],[Status of Call]]="completed",1,0)</f>
        <v>1</v>
      </c>
      <c r="J117" s="6">
        <f>1</f>
        <v>1</v>
      </c>
      <c r="K117" s="6">
        <f>SalesData[[#This Row],[Completed calls]]/SalesData[[#This Row],[Total calls]]</f>
        <v>1</v>
      </c>
      <c r="L117" s="4">
        <f t="shared" si="5"/>
        <v>1</v>
      </c>
      <c r="M117" s="4">
        <f t="shared" si="4"/>
        <v>0</v>
      </c>
      <c r="N117" s="4">
        <f t="shared" si="6"/>
        <v>1</v>
      </c>
      <c r="O117" s="7">
        <v>46239</v>
      </c>
      <c r="P117" s="9">
        <v>46239.685370370367</v>
      </c>
      <c r="Q117" s="9">
        <v>46239.694537037038</v>
      </c>
      <c r="R117" s="6">
        <v>794</v>
      </c>
      <c r="S117" s="4">
        <f t="shared" si="7"/>
        <v>0</v>
      </c>
      <c r="T117" s="6">
        <v>5.2</v>
      </c>
      <c r="U117" s="6" t="s">
        <v>26</v>
      </c>
      <c r="V117" s="6" t="s">
        <v>26</v>
      </c>
      <c r="W117" s="6"/>
    </row>
    <row r="118" spans="1:23" x14ac:dyDescent="0.3">
      <c r="A118" s="3" t="s">
        <v>216</v>
      </c>
      <c r="B118" s="6" t="s">
        <v>21</v>
      </c>
      <c r="C118" s="5">
        <v>8099389567</v>
      </c>
      <c r="D118" s="5">
        <v>623566899</v>
      </c>
      <c r="E118" s="6" t="s">
        <v>28</v>
      </c>
      <c r="F118" s="6" t="s">
        <v>54</v>
      </c>
      <c r="G118" s="6">
        <v>1000000011</v>
      </c>
      <c r="H118" s="6" t="s">
        <v>32</v>
      </c>
      <c r="I118" s="6">
        <f>IF(SalesData[[#This Row],[Status of Call]]="completed",1,0)</f>
        <v>1</v>
      </c>
      <c r="J118" s="6">
        <f>1</f>
        <v>1</v>
      </c>
      <c r="K118" s="6">
        <f>SalesData[[#This Row],[Completed calls]]/SalesData[[#This Row],[Total calls]]</f>
        <v>1</v>
      </c>
      <c r="L118" s="4">
        <f t="shared" si="5"/>
        <v>1</v>
      </c>
      <c r="M118" s="4">
        <f t="shared" si="4"/>
        <v>0</v>
      </c>
      <c r="N118" s="4">
        <f t="shared" si="6"/>
        <v>1</v>
      </c>
      <c r="O118" s="7">
        <v>46239</v>
      </c>
      <c r="P118" s="9">
        <v>46239.695856481485</v>
      </c>
      <c r="Q118" s="9">
        <v>46239.706597222219</v>
      </c>
      <c r="R118" s="6">
        <v>940</v>
      </c>
      <c r="S118" s="4">
        <f t="shared" si="7"/>
        <v>0</v>
      </c>
      <c r="T118" s="6">
        <v>6</v>
      </c>
      <c r="U118" s="6" t="s">
        <v>26</v>
      </c>
      <c r="V118" s="6" t="s">
        <v>26</v>
      </c>
      <c r="W118" s="6"/>
    </row>
    <row r="119" spans="1:23" x14ac:dyDescent="0.3">
      <c r="A119" s="3" t="s">
        <v>217</v>
      </c>
      <c r="B119" s="10" t="s">
        <v>21</v>
      </c>
      <c r="C119" s="5">
        <v>8099389567</v>
      </c>
      <c r="D119" s="5">
        <v>127227937</v>
      </c>
      <c r="E119" s="6" t="s">
        <v>77</v>
      </c>
      <c r="F119" s="10" t="s">
        <v>70</v>
      </c>
      <c r="G119" s="10">
        <v>1000000002</v>
      </c>
      <c r="H119" s="10" t="s">
        <v>32</v>
      </c>
      <c r="I119" s="10">
        <f>IF(SalesData[[#This Row],[Status of Call]]="completed",1,0)</f>
        <v>1</v>
      </c>
      <c r="J119" s="10">
        <f>1</f>
        <v>1</v>
      </c>
      <c r="K119" s="10">
        <f>SalesData[[#This Row],[Completed calls]]/SalesData[[#This Row],[Total calls]]</f>
        <v>1</v>
      </c>
      <c r="L119" s="4">
        <f t="shared" si="5"/>
        <v>1</v>
      </c>
      <c r="M119" s="4">
        <f t="shared" si="4"/>
        <v>0</v>
      </c>
      <c r="N119" s="4">
        <f t="shared" si="6"/>
        <v>1</v>
      </c>
      <c r="O119" s="7">
        <v>46236</v>
      </c>
      <c r="P119" s="9">
        <v>46236.472581018519</v>
      </c>
      <c r="Q119" s="9">
        <v>46236.481168981481</v>
      </c>
      <c r="R119" s="10">
        <v>743</v>
      </c>
      <c r="S119" s="4">
        <f t="shared" si="7"/>
        <v>0</v>
      </c>
      <c r="T119" s="10">
        <v>4.8</v>
      </c>
      <c r="U119" s="10" t="s">
        <v>26</v>
      </c>
      <c r="V119" s="10" t="s">
        <v>26</v>
      </c>
      <c r="W119" s="6"/>
    </row>
    <row r="120" spans="1:23" x14ac:dyDescent="0.3">
      <c r="A120" s="3" t="s">
        <v>218</v>
      </c>
      <c r="B120" s="6" t="s">
        <v>21</v>
      </c>
      <c r="C120" s="5">
        <v>8099389567</v>
      </c>
      <c r="D120" s="5">
        <v>169281669</v>
      </c>
      <c r="E120" s="6" t="s">
        <v>86</v>
      </c>
      <c r="F120" s="6" t="s">
        <v>41</v>
      </c>
      <c r="G120" s="6">
        <v>1000000006</v>
      </c>
      <c r="H120" s="6" t="s">
        <v>32</v>
      </c>
      <c r="I120" s="6">
        <f>IF(SalesData[[#This Row],[Status of Call]]="completed",1,0)</f>
        <v>1</v>
      </c>
      <c r="J120" s="6">
        <f>1</f>
        <v>1</v>
      </c>
      <c r="K120" s="6">
        <f>SalesData[[#This Row],[Completed calls]]/SalesData[[#This Row],[Total calls]]</f>
        <v>1</v>
      </c>
      <c r="L120" s="4">
        <f t="shared" si="5"/>
        <v>1</v>
      </c>
      <c r="M120" s="4">
        <f t="shared" si="4"/>
        <v>0</v>
      </c>
      <c r="N120" s="4">
        <f t="shared" si="6"/>
        <v>1</v>
      </c>
      <c r="O120" s="7">
        <v>46239</v>
      </c>
      <c r="P120" s="9">
        <v>46239.714016203703</v>
      </c>
      <c r="Q120" s="9">
        <v>46239.71502314815</v>
      </c>
      <c r="R120" s="6">
        <v>87</v>
      </c>
      <c r="S120" s="4">
        <f t="shared" si="7"/>
        <v>0</v>
      </c>
      <c r="T120" s="6">
        <v>0.4</v>
      </c>
      <c r="U120" s="6" t="s">
        <v>26</v>
      </c>
      <c r="V120" s="6" t="s">
        <v>26</v>
      </c>
      <c r="W120" s="6"/>
    </row>
    <row r="121" spans="1:23" x14ac:dyDescent="0.3">
      <c r="A121" s="3" t="s">
        <v>219</v>
      </c>
      <c r="B121" s="6" t="s">
        <v>21</v>
      </c>
      <c r="C121" s="5">
        <v>8099389567</v>
      </c>
      <c r="D121" s="5">
        <v>717336805</v>
      </c>
      <c r="E121" s="6" t="s">
        <v>86</v>
      </c>
      <c r="F121" s="6" t="s">
        <v>47</v>
      </c>
      <c r="G121" s="6">
        <v>1000000005</v>
      </c>
      <c r="H121" s="6" t="s">
        <v>24</v>
      </c>
      <c r="I121" s="6">
        <f>IF(SalesData[[#This Row],[Status of Call]]="completed",1,0)</f>
        <v>0</v>
      </c>
      <c r="J121" s="6">
        <f>1</f>
        <v>1</v>
      </c>
      <c r="K121" s="6">
        <f>SalesData[[#This Row],[Completed calls]]/SalesData[[#This Row],[Total calls]]</f>
        <v>0</v>
      </c>
      <c r="L121" s="4">
        <f t="shared" si="5"/>
        <v>1</v>
      </c>
      <c r="M121" s="4">
        <f t="shared" si="4"/>
        <v>0</v>
      </c>
      <c r="N121" s="4">
        <f t="shared" si="6"/>
        <v>0</v>
      </c>
      <c r="O121" s="7">
        <v>46239</v>
      </c>
      <c r="P121" s="9">
        <v>46239.733171296299</v>
      </c>
      <c r="Q121" s="9">
        <v>46239.733252314814</v>
      </c>
      <c r="R121" s="6">
        <v>8</v>
      </c>
      <c r="S121" s="4">
        <f t="shared" si="7"/>
        <v>0</v>
      </c>
      <c r="U121" s="6" t="s">
        <v>26</v>
      </c>
      <c r="V121" s="6" t="s">
        <v>26</v>
      </c>
      <c r="W121" s="6"/>
    </row>
    <row r="122" spans="1:23" x14ac:dyDescent="0.3">
      <c r="A122" s="3" t="s">
        <v>220</v>
      </c>
      <c r="B122" s="10" t="s">
        <v>21</v>
      </c>
      <c r="C122" s="5">
        <v>8099389567</v>
      </c>
      <c r="D122" s="5">
        <v>482911979</v>
      </c>
      <c r="E122" s="6" t="s">
        <v>64</v>
      </c>
      <c r="F122" s="10" t="s">
        <v>152</v>
      </c>
      <c r="G122" s="10">
        <v>1000000036</v>
      </c>
      <c r="H122" s="10" t="s">
        <v>32</v>
      </c>
      <c r="I122" s="10">
        <f>IF(SalesData[[#This Row],[Status of Call]]="completed",1,0)</f>
        <v>1</v>
      </c>
      <c r="J122" s="10">
        <f>1</f>
        <v>1</v>
      </c>
      <c r="K122" s="10">
        <f>SalesData[[#This Row],[Completed calls]]/SalesData[[#This Row],[Total calls]]</f>
        <v>1</v>
      </c>
      <c r="L122" s="4">
        <f t="shared" si="5"/>
        <v>1</v>
      </c>
      <c r="M122" s="4">
        <f t="shared" si="4"/>
        <v>0</v>
      </c>
      <c r="N122" s="4">
        <f t="shared" si="6"/>
        <v>1</v>
      </c>
      <c r="O122" s="7">
        <v>46236</v>
      </c>
      <c r="P122" s="9">
        <v>46236.491122685184</v>
      </c>
      <c r="Q122" s="9">
        <v>46236.491956018515</v>
      </c>
      <c r="R122" s="10">
        <v>75</v>
      </c>
      <c r="S122" s="4">
        <f t="shared" si="7"/>
        <v>0</v>
      </c>
      <c r="T122" s="10">
        <v>0.4</v>
      </c>
      <c r="U122" s="10" t="s">
        <v>26</v>
      </c>
      <c r="V122" s="10" t="s">
        <v>26</v>
      </c>
      <c r="W122" s="6"/>
    </row>
    <row r="123" spans="1:23" x14ac:dyDescent="0.3">
      <c r="A123" s="3" t="s">
        <v>221</v>
      </c>
      <c r="B123" s="6" t="s">
        <v>21</v>
      </c>
      <c r="C123" s="5">
        <v>8099389567</v>
      </c>
      <c r="D123" s="5">
        <v>103572363</v>
      </c>
      <c r="E123" s="6" t="s">
        <v>222</v>
      </c>
      <c r="F123" s="6" t="s">
        <v>223</v>
      </c>
      <c r="H123" s="6" t="s">
        <v>24</v>
      </c>
      <c r="I123" s="6">
        <f>IF(SalesData[[#This Row],[Status of Call]]="completed",1,0)</f>
        <v>0</v>
      </c>
      <c r="J123" s="6">
        <f>1</f>
        <v>1</v>
      </c>
      <c r="K123" s="6">
        <f>SalesData[[#This Row],[Completed calls]]/SalesData[[#This Row],[Total calls]]</f>
        <v>0</v>
      </c>
      <c r="L123" s="4">
        <f t="shared" si="5"/>
        <v>1</v>
      </c>
      <c r="M123" s="4">
        <f t="shared" si="4"/>
        <v>0</v>
      </c>
      <c r="N123" s="4">
        <f t="shared" si="6"/>
        <v>0</v>
      </c>
      <c r="O123" s="7">
        <v>46239</v>
      </c>
      <c r="P123" s="9">
        <v>46239.815960648149</v>
      </c>
      <c r="Q123" s="9">
        <v>46239.816053240742</v>
      </c>
      <c r="R123" s="6">
        <v>9</v>
      </c>
      <c r="S123" s="4">
        <f t="shared" si="7"/>
        <v>0</v>
      </c>
      <c r="U123" s="6" t="s">
        <v>26</v>
      </c>
      <c r="V123" s="6" t="s">
        <v>26</v>
      </c>
      <c r="W123" s="6"/>
    </row>
    <row r="124" spans="1:23" x14ac:dyDescent="0.3">
      <c r="A124" s="3" t="s">
        <v>224</v>
      </c>
      <c r="B124" s="6" t="s">
        <v>21</v>
      </c>
      <c r="C124" s="5">
        <v>8099389567</v>
      </c>
      <c r="D124" s="5">
        <v>131147965</v>
      </c>
      <c r="E124" s="6" t="s">
        <v>222</v>
      </c>
      <c r="F124" s="6" t="s">
        <v>225</v>
      </c>
      <c r="H124" s="6" t="s">
        <v>32</v>
      </c>
      <c r="I124" s="6">
        <f>IF(SalesData[[#This Row],[Status of Call]]="completed",1,0)</f>
        <v>1</v>
      </c>
      <c r="J124" s="6">
        <f>1</f>
        <v>1</v>
      </c>
      <c r="K124" s="6">
        <f>SalesData[[#This Row],[Completed calls]]/SalesData[[#This Row],[Total calls]]</f>
        <v>1</v>
      </c>
      <c r="L124" s="4">
        <f t="shared" si="5"/>
        <v>1</v>
      </c>
      <c r="M124" s="4">
        <f t="shared" si="4"/>
        <v>0</v>
      </c>
      <c r="N124" s="4">
        <f t="shared" si="6"/>
        <v>1</v>
      </c>
      <c r="O124" s="7">
        <v>46239</v>
      </c>
      <c r="P124" s="9">
        <v>46239.869745370372</v>
      </c>
      <c r="Q124" s="9">
        <v>46239.870370370372</v>
      </c>
      <c r="R124" s="6">
        <v>56</v>
      </c>
      <c r="S124" s="4">
        <f t="shared" si="7"/>
        <v>0</v>
      </c>
      <c r="T124" s="6">
        <v>0.4</v>
      </c>
      <c r="U124" s="6" t="s">
        <v>26</v>
      </c>
      <c r="V124" s="6" t="s">
        <v>26</v>
      </c>
      <c r="W124" s="6"/>
    </row>
    <row r="125" spans="1:23" x14ac:dyDescent="0.3">
      <c r="A125" s="3" t="s">
        <v>226</v>
      </c>
      <c r="B125" s="6" t="s">
        <v>21</v>
      </c>
      <c r="C125" s="5">
        <v>8099389567</v>
      </c>
      <c r="D125" s="5">
        <v>999414284</v>
      </c>
      <c r="E125" s="6" t="s">
        <v>222</v>
      </c>
      <c r="F125" s="6" t="s">
        <v>227</v>
      </c>
      <c r="H125" s="6" t="s">
        <v>49</v>
      </c>
      <c r="I125" s="6">
        <f>IF(SalesData[[#This Row],[Status of Call]]="completed",1,0)</f>
        <v>0</v>
      </c>
      <c r="J125" s="6">
        <f>1</f>
        <v>1</v>
      </c>
      <c r="K125" s="6">
        <f>SalesData[[#This Row],[Completed calls]]/SalesData[[#This Row],[Total calls]]</f>
        <v>0</v>
      </c>
      <c r="L125" s="4">
        <f t="shared" si="5"/>
        <v>1</v>
      </c>
      <c r="M125" s="4">
        <f t="shared" si="4"/>
        <v>0</v>
      </c>
      <c r="N125" s="4">
        <f t="shared" si="6"/>
        <v>0</v>
      </c>
      <c r="O125" s="7">
        <v>46239</v>
      </c>
      <c r="P125" s="9">
        <v>46239.870462962965</v>
      </c>
      <c r="Q125" s="9">
        <v>46239.870856481481</v>
      </c>
      <c r="R125" s="6">
        <v>35</v>
      </c>
      <c r="S125" s="4">
        <f t="shared" si="7"/>
        <v>1</v>
      </c>
      <c r="U125" s="6" t="s">
        <v>26</v>
      </c>
      <c r="V125" s="6" t="s">
        <v>26</v>
      </c>
      <c r="W125" s="6"/>
    </row>
    <row r="126" spans="1:23" x14ac:dyDescent="0.3">
      <c r="A126" s="3" t="s">
        <v>228</v>
      </c>
      <c r="B126" s="6" t="s">
        <v>21</v>
      </c>
      <c r="C126" s="5">
        <v>8099389567</v>
      </c>
      <c r="D126" s="5">
        <v>127372813</v>
      </c>
      <c r="E126" s="6" t="s">
        <v>227</v>
      </c>
      <c r="F126" s="6" t="s">
        <v>229</v>
      </c>
      <c r="H126" s="6" t="s">
        <v>49</v>
      </c>
      <c r="I126" s="6">
        <f>IF(SalesData[[#This Row],[Status of Call]]="completed",1,0)</f>
        <v>0</v>
      </c>
      <c r="J126" s="6">
        <f>1</f>
        <v>1</v>
      </c>
      <c r="K126" s="6">
        <f>SalesData[[#This Row],[Completed calls]]/SalesData[[#This Row],[Total calls]]</f>
        <v>0</v>
      </c>
      <c r="L126" s="4">
        <f t="shared" si="5"/>
        <v>1</v>
      </c>
      <c r="M126" s="4">
        <f t="shared" si="4"/>
        <v>0</v>
      </c>
      <c r="N126" s="4">
        <f t="shared" si="6"/>
        <v>0</v>
      </c>
      <c r="O126" s="7">
        <v>46239</v>
      </c>
      <c r="P126" s="9">
        <v>46239.871180555558</v>
      </c>
      <c r="Q126" s="9">
        <v>46239.871932870374</v>
      </c>
      <c r="R126" s="6">
        <v>66</v>
      </c>
      <c r="S126" s="4">
        <f t="shared" si="7"/>
        <v>1</v>
      </c>
      <c r="U126" s="6" t="s">
        <v>26</v>
      </c>
      <c r="V126" s="6" t="s">
        <v>26</v>
      </c>
      <c r="W126" s="6"/>
    </row>
    <row r="127" spans="1:23" x14ac:dyDescent="0.3">
      <c r="A127" s="3" t="s">
        <v>230</v>
      </c>
      <c r="B127" s="6" t="s">
        <v>21</v>
      </c>
      <c r="C127" s="5">
        <v>8099389567</v>
      </c>
      <c r="D127" s="5">
        <v>939426610</v>
      </c>
      <c r="E127" s="6" t="s">
        <v>223</v>
      </c>
      <c r="F127" s="6" t="s">
        <v>231</v>
      </c>
      <c r="H127" s="6" t="s">
        <v>49</v>
      </c>
      <c r="I127" s="6">
        <f>IF(SalesData[[#This Row],[Status of Call]]="completed",1,0)</f>
        <v>0</v>
      </c>
      <c r="J127" s="6">
        <f>1</f>
        <v>1</v>
      </c>
      <c r="K127" s="6">
        <f>SalesData[[#This Row],[Completed calls]]/SalesData[[#This Row],[Total calls]]</f>
        <v>0</v>
      </c>
      <c r="L127" s="4">
        <f t="shared" si="5"/>
        <v>1</v>
      </c>
      <c r="M127" s="4">
        <f t="shared" si="4"/>
        <v>0</v>
      </c>
      <c r="N127" s="4">
        <f t="shared" si="6"/>
        <v>0</v>
      </c>
      <c r="O127" s="7">
        <v>46239</v>
      </c>
      <c r="P127" s="9">
        <v>46239.873194444444</v>
      </c>
      <c r="Q127" s="9">
        <v>46239.873425925929</v>
      </c>
      <c r="R127" s="6">
        <v>20</v>
      </c>
      <c r="S127" s="4">
        <f t="shared" si="7"/>
        <v>1</v>
      </c>
      <c r="U127" s="6" t="s">
        <v>26</v>
      </c>
      <c r="V127" s="6" t="s">
        <v>26</v>
      </c>
      <c r="W127" s="6"/>
    </row>
    <row r="128" spans="1:23" x14ac:dyDescent="0.3">
      <c r="A128" s="3" t="s">
        <v>232</v>
      </c>
      <c r="B128" s="6" t="s">
        <v>21</v>
      </c>
      <c r="C128" s="5">
        <v>8099389567</v>
      </c>
      <c r="D128" s="5">
        <v>497732118</v>
      </c>
      <c r="E128" s="6" t="s">
        <v>223</v>
      </c>
      <c r="F128" s="6" t="s">
        <v>233</v>
      </c>
      <c r="H128" s="6" t="s">
        <v>49</v>
      </c>
      <c r="I128" s="6">
        <f>IF(SalesData[[#This Row],[Status of Call]]="completed",1,0)</f>
        <v>0</v>
      </c>
      <c r="J128" s="6">
        <f>1</f>
        <v>1</v>
      </c>
      <c r="K128" s="6">
        <f>SalesData[[#This Row],[Completed calls]]/SalesData[[#This Row],[Total calls]]</f>
        <v>0</v>
      </c>
      <c r="L128" s="4">
        <f t="shared" si="5"/>
        <v>1</v>
      </c>
      <c r="M128" s="4">
        <f t="shared" si="4"/>
        <v>0</v>
      </c>
      <c r="N128" s="4">
        <f t="shared" si="6"/>
        <v>0</v>
      </c>
      <c r="O128" s="7">
        <v>46239</v>
      </c>
      <c r="P128" s="9">
        <v>46239.873449074075</v>
      </c>
      <c r="Q128" s="9">
        <v>46239.87400462963</v>
      </c>
      <c r="R128" s="6">
        <v>49</v>
      </c>
      <c r="S128" s="4">
        <f t="shared" si="7"/>
        <v>1</v>
      </c>
      <c r="U128" s="6" t="s">
        <v>26</v>
      </c>
      <c r="V128" s="6" t="s">
        <v>26</v>
      </c>
      <c r="W128" s="6"/>
    </row>
    <row r="129" spans="1:23" x14ac:dyDescent="0.3">
      <c r="A129" s="3" t="s">
        <v>234</v>
      </c>
      <c r="B129" s="6" t="s">
        <v>21</v>
      </c>
      <c r="C129" s="5">
        <v>8099389567</v>
      </c>
      <c r="D129" s="5">
        <v>765892845</v>
      </c>
      <c r="E129" s="6" t="s">
        <v>231</v>
      </c>
      <c r="F129" s="6" t="s">
        <v>227</v>
      </c>
      <c r="H129" s="6" t="s">
        <v>49</v>
      </c>
      <c r="I129" s="6">
        <f>IF(SalesData[[#This Row],[Status of Call]]="completed",1,0)</f>
        <v>0</v>
      </c>
      <c r="J129" s="6">
        <f>1</f>
        <v>1</v>
      </c>
      <c r="K129" s="6">
        <f>SalesData[[#This Row],[Completed calls]]/SalesData[[#This Row],[Total calls]]</f>
        <v>0</v>
      </c>
      <c r="L129" s="4">
        <f t="shared" si="5"/>
        <v>1</v>
      </c>
      <c r="M129" s="4">
        <f t="shared" si="4"/>
        <v>0</v>
      </c>
      <c r="N129" s="4">
        <f t="shared" si="6"/>
        <v>0</v>
      </c>
      <c r="O129" s="7">
        <v>46239</v>
      </c>
      <c r="P129" s="9">
        <v>46239.873680555553</v>
      </c>
      <c r="Q129" s="9">
        <v>46239.873900462961</v>
      </c>
      <c r="R129" s="6">
        <v>32</v>
      </c>
      <c r="S129" s="4">
        <f t="shared" si="7"/>
        <v>1</v>
      </c>
      <c r="U129" s="6" t="s">
        <v>26</v>
      </c>
      <c r="V129" s="6" t="s">
        <v>26</v>
      </c>
      <c r="W129" s="6"/>
    </row>
    <row r="130" spans="1:23" x14ac:dyDescent="0.3">
      <c r="A130" s="3" t="s">
        <v>235</v>
      </c>
      <c r="B130" s="6" t="s">
        <v>21</v>
      </c>
      <c r="C130" s="5">
        <v>8099389567</v>
      </c>
      <c r="D130" s="5">
        <v>807420471</v>
      </c>
      <c r="E130" s="6" t="s">
        <v>222</v>
      </c>
      <c r="F130" s="6" t="s">
        <v>231</v>
      </c>
      <c r="H130" s="6" t="s">
        <v>32</v>
      </c>
      <c r="I130" s="6">
        <f>IF(SalesData[[#This Row],[Status of Call]]="completed",1,0)</f>
        <v>1</v>
      </c>
      <c r="J130" s="6">
        <f>1</f>
        <v>1</v>
      </c>
      <c r="K130" s="6">
        <f>SalesData[[#This Row],[Completed calls]]/SalesData[[#This Row],[Total calls]]</f>
        <v>1</v>
      </c>
      <c r="L130" s="4">
        <f t="shared" si="5"/>
        <v>1</v>
      </c>
      <c r="M130" s="4">
        <f t="shared" ref="M130:M193" si="8">IF(B130="Outgoing",1,0)</f>
        <v>0</v>
      </c>
      <c r="N130" s="4">
        <f t="shared" si="6"/>
        <v>1</v>
      </c>
      <c r="O130" s="7">
        <v>46239</v>
      </c>
      <c r="P130" s="9">
        <v>46239.876400462963</v>
      </c>
      <c r="Q130" s="9">
        <v>46239.877152777779</v>
      </c>
      <c r="R130" s="6">
        <v>67</v>
      </c>
      <c r="S130" s="4">
        <f t="shared" si="7"/>
        <v>0</v>
      </c>
      <c r="T130" s="6">
        <v>0.4</v>
      </c>
      <c r="U130" s="6" t="s">
        <v>26</v>
      </c>
      <c r="V130" s="6" t="s">
        <v>26</v>
      </c>
      <c r="W130" s="6"/>
    </row>
    <row r="131" spans="1:23" x14ac:dyDescent="0.3">
      <c r="A131" s="3" t="s">
        <v>236</v>
      </c>
      <c r="B131" s="6" t="s">
        <v>21</v>
      </c>
      <c r="C131" s="5">
        <v>8099389567</v>
      </c>
      <c r="D131" s="5">
        <v>994829494</v>
      </c>
      <c r="E131" s="6" t="s">
        <v>223</v>
      </c>
      <c r="F131" s="6" t="s">
        <v>233</v>
      </c>
      <c r="H131" s="6" t="s">
        <v>49</v>
      </c>
      <c r="I131" s="6">
        <f>IF(SalesData[[#This Row],[Status of Call]]="completed",1,0)</f>
        <v>0</v>
      </c>
      <c r="J131" s="6">
        <f>1</f>
        <v>1</v>
      </c>
      <c r="K131" s="6">
        <f>SalesData[[#This Row],[Completed calls]]/SalesData[[#This Row],[Total calls]]</f>
        <v>0</v>
      </c>
      <c r="L131" s="4">
        <f t="shared" ref="L131:L194" si="9">IF(B131="incoming",1,0)</f>
        <v>1</v>
      </c>
      <c r="M131" s="4">
        <f t="shared" si="8"/>
        <v>0</v>
      </c>
      <c r="N131" s="4">
        <f t="shared" ref="N131:N194" si="10">IF(AND(B131="Incoming",H131="Completed"),1,0)</f>
        <v>0</v>
      </c>
      <c r="O131" s="7">
        <v>46240</v>
      </c>
      <c r="P131" s="9">
        <v>46240.042685185188</v>
      </c>
      <c r="Q131" s="9">
        <v>46240.042893518519</v>
      </c>
      <c r="R131" s="6">
        <v>19</v>
      </c>
      <c r="S131" s="4">
        <f t="shared" ref="S131:S194" si="11">IF(OR(H131="failed",H131="no-answer",H131="missed-call"),1,0)</f>
        <v>1</v>
      </c>
      <c r="U131" s="6" t="s">
        <v>142</v>
      </c>
      <c r="V131" s="6" t="s">
        <v>26</v>
      </c>
      <c r="W131" s="6"/>
    </row>
    <row r="132" spans="1:23" x14ac:dyDescent="0.3">
      <c r="A132" s="3" t="s">
        <v>237</v>
      </c>
      <c r="B132" s="6" t="s">
        <v>21</v>
      </c>
      <c r="C132" s="5">
        <v>8099389567</v>
      </c>
      <c r="D132" s="5">
        <v>993671909</v>
      </c>
      <c r="E132" s="6" t="s">
        <v>223</v>
      </c>
      <c r="F132" s="6" t="s">
        <v>223</v>
      </c>
      <c r="H132" s="6" t="s">
        <v>24</v>
      </c>
      <c r="I132" s="6">
        <f>IF(SalesData[[#This Row],[Status of Call]]="completed",1,0)</f>
        <v>0</v>
      </c>
      <c r="J132" s="6">
        <f>1</f>
        <v>1</v>
      </c>
      <c r="K132" s="6">
        <f>SalesData[[#This Row],[Completed calls]]/SalesData[[#This Row],[Total calls]]</f>
        <v>0</v>
      </c>
      <c r="L132" s="4">
        <f t="shared" si="9"/>
        <v>1</v>
      </c>
      <c r="M132" s="4">
        <f t="shared" si="8"/>
        <v>0</v>
      </c>
      <c r="N132" s="4">
        <f t="shared" si="10"/>
        <v>0</v>
      </c>
      <c r="O132" s="7">
        <v>46240</v>
      </c>
      <c r="P132" s="9">
        <v>46240.044027777774</v>
      </c>
      <c r="Q132" s="9">
        <v>46240.04420138889</v>
      </c>
      <c r="R132" s="6">
        <v>16</v>
      </c>
      <c r="S132" s="4">
        <f t="shared" si="11"/>
        <v>0</v>
      </c>
      <c r="U132" s="6" t="s">
        <v>142</v>
      </c>
      <c r="V132" s="6" t="s">
        <v>26</v>
      </c>
      <c r="W132" s="6"/>
    </row>
    <row r="133" spans="1:23" x14ac:dyDescent="0.3">
      <c r="A133" s="3" t="s">
        <v>238</v>
      </c>
      <c r="B133" s="10" t="s">
        <v>21</v>
      </c>
      <c r="C133" s="5">
        <v>8099389567</v>
      </c>
      <c r="D133" s="5">
        <v>156068728</v>
      </c>
      <c r="E133" s="6" t="s">
        <v>58</v>
      </c>
      <c r="F133" s="10" t="s">
        <v>107</v>
      </c>
      <c r="G133" s="10">
        <v>1000000035</v>
      </c>
      <c r="H133" s="10" t="s">
        <v>32</v>
      </c>
      <c r="I133" s="10">
        <f>IF(SalesData[[#This Row],[Status of Call]]="completed",1,0)</f>
        <v>1</v>
      </c>
      <c r="J133" s="10">
        <f>1</f>
        <v>1</v>
      </c>
      <c r="K133" s="10">
        <f>SalesData[[#This Row],[Completed calls]]/SalesData[[#This Row],[Total calls]]</f>
        <v>1</v>
      </c>
      <c r="L133" s="4">
        <f t="shared" si="9"/>
        <v>1</v>
      </c>
      <c r="M133" s="4">
        <f t="shared" si="8"/>
        <v>0</v>
      </c>
      <c r="N133" s="4">
        <f t="shared" si="10"/>
        <v>1</v>
      </c>
      <c r="O133" s="7">
        <v>46236</v>
      </c>
      <c r="P133" s="9">
        <v>46236.500486111108</v>
      </c>
      <c r="Q133" s="9">
        <v>46236.501620370371</v>
      </c>
      <c r="R133" s="10">
        <v>99</v>
      </c>
      <c r="S133" s="4">
        <f t="shared" si="11"/>
        <v>0</v>
      </c>
      <c r="T133" s="10">
        <v>0.4</v>
      </c>
      <c r="U133" s="10" t="s">
        <v>26</v>
      </c>
      <c r="V133" s="10" t="s">
        <v>26</v>
      </c>
      <c r="W133" s="6"/>
    </row>
    <row r="134" spans="1:23" x14ac:dyDescent="0.3">
      <c r="A134" s="3" t="s">
        <v>239</v>
      </c>
      <c r="B134" s="6" t="s">
        <v>21</v>
      </c>
      <c r="C134" s="5">
        <v>8099389567</v>
      </c>
      <c r="D134" s="5">
        <v>450765243</v>
      </c>
      <c r="E134" s="6" t="s">
        <v>223</v>
      </c>
      <c r="F134" s="6" t="s">
        <v>240</v>
      </c>
      <c r="H134" s="6" t="s">
        <v>32</v>
      </c>
      <c r="I134" s="6">
        <f>IF(SalesData[[#This Row],[Status of Call]]="completed",1,0)</f>
        <v>1</v>
      </c>
      <c r="J134" s="6">
        <f>1</f>
        <v>1</v>
      </c>
      <c r="K134" s="6">
        <f>SalesData[[#This Row],[Completed calls]]/SalesData[[#This Row],[Total calls]]</f>
        <v>1</v>
      </c>
      <c r="L134" s="4">
        <f t="shared" si="9"/>
        <v>1</v>
      </c>
      <c r="M134" s="4">
        <f t="shared" si="8"/>
        <v>0</v>
      </c>
      <c r="N134" s="4">
        <f t="shared" si="10"/>
        <v>1</v>
      </c>
      <c r="O134" s="7">
        <v>46240</v>
      </c>
      <c r="P134" s="9">
        <v>46240.360127314816</v>
      </c>
      <c r="Q134" s="9">
        <v>46240.361018518517</v>
      </c>
      <c r="R134" s="6">
        <v>78</v>
      </c>
      <c r="S134" s="4">
        <f t="shared" si="11"/>
        <v>0</v>
      </c>
      <c r="T134" s="6">
        <v>0.4</v>
      </c>
      <c r="U134" s="6" t="s">
        <v>26</v>
      </c>
      <c r="V134" s="6" t="s">
        <v>26</v>
      </c>
      <c r="W134" s="6"/>
    </row>
    <row r="135" spans="1:23" x14ac:dyDescent="0.3">
      <c r="A135" s="3" t="s">
        <v>241</v>
      </c>
      <c r="B135" s="6" t="s">
        <v>21</v>
      </c>
      <c r="C135" s="5">
        <v>8099389567</v>
      </c>
      <c r="D135" s="5">
        <v>617722650</v>
      </c>
      <c r="E135" s="6" t="s">
        <v>223</v>
      </c>
      <c r="F135" s="6" t="s">
        <v>223</v>
      </c>
      <c r="H135" s="6" t="s">
        <v>49</v>
      </c>
      <c r="I135" s="6">
        <f>IF(SalesData[[#This Row],[Status of Call]]="completed",1,0)</f>
        <v>0</v>
      </c>
      <c r="J135" s="6">
        <f>1</f>
        <v>1</v>
      </c>
      <c r="K135" s="6">
        <f>SalesData[[#This Row],[Completed calls]]/SalesData[[#This Row],[Total calls]]</f>
        <v>0</v>
      </c>
      <c r="L135" s="4">
        <f t="shared" si="9"/>
        <v>1</v>
      </c>
      <c r="M135" s="4">
        <f t="shared" si="8"/>
        <v>0</v>
      </c>
      <c r="N135" s="4">
        <f t="shared" si="10"/>
        <v>0</v>
      </c>
      <c r="O135" s="7">
        <v>46240</v>
      </c>
      <c r="P135" s="9">
        <v>46240.437743055554</v>
      </c>
      <c r="Q135" s="9">
        <v>46240.438020833331</v>
      </c>
      <c r="R135" s="6">
        <v>25</v>
      </c>
      <c r="S135" s="4">
        <f t="shared" si="11"/>
        <v>1</v>
      </c>
      <c r="U135" s="6" t="s">
        <v>26</v>
      </c>
      <c r="V135" s="6" t="s">
        <v>26</v>
      </c>
      <c r="W135" s="6"/>
    </row>
    <row r="136" spans="1:23" x14ac:dyDescent="0.3">
      <c r="A136" s="3" t="s">
        <v>242</v>
      </c>
      <c r="B136" s="6" t="s">
        <v>21</v>
      </c>
      <c r="C136" s="5">
        <v>8099389567</v>
      </c>
      <c r="D136" s="5">
        <v>354417635</v>
      </c>
      <c r="E136" s="6" t="s">
        <v>223</v>
      </c>
      <c r="F136" s="6" t="s">
        <v>243</v>
      </c>
      <c r="H136" s="6" t="s">
        <v>32</v>
      </c>
      <c r="I136" s="6">
        <f>IF(SalesData[[#This Row],[Status of Call]]="completed",1,0)</f>
        <v>1</v>
      </c>
      <c r="J136" s="6">
        <f>1</f>
        <v>1</v>
      </c>
      <c r="K136" s="6">
        <f>SalesData[[#This Row],[Completed calls]]/SalesData[[#This Row],[Total calls]]</f>
        <v>1</v>
      </c>
      <c r="L136" s="4">
        <f t="shared" si="9"/>
        <v>1</v>
      </c>
      <c r="M136" s="4">
        <f t="shared" si="8"/>
        <v>0</v>
      </c>
      <c r="N136" s="4">
        <f t="shared" si="10"/>
        <v>1</v>
      </c>
      <c r="O136" s="7">
        <v>46240</v>
      </c>
      <c r="P136" s="9">
        <v>46240.461412037039</v>
      </c>
      <c r="Q136" s="9">
        <v>46240.46806712963</v>
      </c>
      <c r="R136" s="6">
        <v>576</v>
      </c>
      <c r="S136" s="4">
        <f t="shared" si="11"/>
        <v>0</v>
      </c>
      <c r="T136" s="6">
        <v>4</v>
      </c>
      <c r="U136" s="6" t="s">
        <v>26</v>
      </c>
      <c r="V136" s="6" t="s">
        <v>26</v>
      </c>
      <c r="W136" s="6"/>
    </row>
    <row r="137" spans="1:23" x14ac:dyDescent="0.3">
      <c r="A137" s="3" t="s">
        <v>244</v>
      </c>
      <c r="B137" s="6" t="s">
        <v>21</v>
      </c>
      <c r="C137" s="5">
        <v>8099389567</v>
      </c>
      <c r="D137" s="5">
        <v>269368769</v>
      </c>
      <c r="E137" s="6" t="s">
        <v>223</v>
      </c>
      <c r="F137" s="6" t="s">
        <v>223</v>
      </c>
      <c r="H137" s="6" t="s">
        <v>24</v>
      </c>
      <c r="I137" s="6">
        <f>IF(SalesData[[#This Row],[Status of Call]]="completed",1,0)</f>
        <v>0</v>
      </c>
      <c r="J137" s="6">
        <f>1</f>
        <v>1</v>
      </c>
      <c r="K137" s="6">
        <f>SalesData[[#This Row],[Completed calls]]/SalesData[[#This Row],[Total calls]]</f>
        <v>0</v>
      </c>
      <c r="L137" s="4">
        <f t="shared" si="9"/>
        <v>1</v>
      </c>
      <c r="M137" s="4">
        <f t="shared" si="8"/>
        <v>0</v>
      </c>
      <c r="N137" s="4">
        <f t="shared" si="10"/>
        <v>0</v>
      </c>
      <c r="O137" s="7">
        <v>46240</v>
      </c>
      <c r="P137" s="9">
        <v>46240.489131944443</v>
      </c>
      <c r="Q137" s="9">
        <v>46240.489201388889</v>
      </c>
      <c r="R137" s="6">
        <v>8</v>
      </c>
      <c r="S137" s="4">
        <f t="shared" si="11"/>
        <v>0</v>
      </c>
      <c r="U137" s="6" t="s">
        <v>26</v>
      </c>
      <c r="V137" s="6" t="s">
        <v>26</v>
      </c>
      <c r="W137" s="6"/>
    </row>
    <row r="138" spans="1:23" x14ac:dyDescent="0.3">
      <c r="A138" s="3" t="s">
        <v>245</v>
      </c>
      <c r="B138" s="6" t="s">
        <v>21</v>
      </c>
      <c r="C138" s="5">
        <v>8099389567</v>
      </c>
      <c r="D138" s="5">
        <v>266111722</v>
      </c>
      <c r="E138" s="6" t="s">
        <v>223</v>
      </c>
      <c r="F138" s="6" t="s">
        <v>246</v>
      </c>
      <c r="H138" s="6" t="s">
        <v>32</v>
      </c>
      <c r="I138" s="6">
        <f>IF(SalesData[[#This Row],[Status of Call]]="completed",1,0)</f>
        <v>1</v>
      </c>
      <c r="J138" s="6">
        <f>1</f>
        <v>1</v>
      </c>
      <c r="K138" s="6">
        <f>SalesData[[#This Row],[Completed calls]]/SalesData[[#This Row],[Total calls]]</f>
        <v>1</v>
      </c>
      <c r="L138" s="4">
        <f t="shared" si="9"/>
        <v>1</v>
      </c>
      <c r="M138" s="4">
        <f t="shared" si="8"/>
        <v>0</v>
      </c>
      <c r="N138" s="4">
        <f t="shared" si="10"/>
        <v>1</v>
      </c>
      <c r="O138" s="7">
        <v>46240</v>
      </c>
      <c r="P138" s="9">
        <v>46240.505289351851</v>
      </c>
      <c r="Q138" s="9">
        <v>46240.515833333331</v>
      </c>
      <c r="R138" s="6">
        <v>913</v>
      </c>
      <c r="S138" s="4">
        <f t="shared" si="11"/>
        <v>0</v>
      </c>
      <c r="T138" s="6">
        <v>6</v>
      </c>
      <c r="U138" s="6" t="s">
        <v>26</v>
      </c>
      <c r="V138" s="6" t="s">
        <v>26</v>
      </c>
      <c r="W138" s="6"/>
    </row>
    <row r="139" spans="1:23" x14ac:dyDescent="0.3">
      <c r="A139" s="3" t="s">
        <v>247</v>
      </c>
      <c r="B139" s="6" t="s">
        <v>21</v>
      </c>
      <c r="C139" s="5">
        <v>8099389567</v>
      </c>
      <c r="D139" s="5">
        <v>721354464</v>
      </c>
      <c r="E139" s="6" t="s">
        <v>223</v>
      </c>
      <c r="F139" s="6" t="s">
        <v>223</v>
      </c>
      <c r="H139" s="6" t="s">
        <v>24</v>
      </c>
      <c r="I139" s="6">
        <f>IF(SalesData[[#This Row],[Status of Call]]="completed",1,0)</f>
        <v>0</v>
      </c>
      <c r="J139" s="6">
        <f>1</f>
        <v>1</v>
      </c>
      <c r="K139" s="6">
        <f>SalesData[[#This Row],[Completed calls]]/SalesData[[#This Row],[Total calls]]</f>
        <v>0</v>
      </c>
      <c r="L139" s="4">
        <f t="shared" si="9"/>
        <v>1</v>
      </c>
      <c r="M139" s="4">
        <f t="shared" si="8"/>
        <v>0</v>
      </c>
      <c r="N139" s="4">
        <f t="shared" si="10"/>
        <v>0</v>
      </c>
      <c r="O139" s="7">
        <v>46240</v>
      </c>
      <c r="P139" s="9">
        <v>46240.530370370368</v>
      </c>
      <c r="Q139" s="9">
        <v>46240.530462962961</v>
      </c>
      <c r="R139" s="6">
        <v>9</v>
      </c>
      <c r="S139" s="4">
        <f t="shared" si="11"/>
        <v>0</v>
      </c>
      <c r="U139" s="6" t="s">
        <v>26</v>
      </c>
      <c r="V139" s="6" t="s">
        <v>26</v>
      </c>
      <c r="W139" s="6"/>
    </row>
    <row r="140" spans="1:23" x14ac:dyDescent="0.3">
      <c r="A140" s="3" t="s">
        <v>248</v>
      </c>
      <c r="B140" s="6" t="s">
        <v>21</v>
      </c>
      <c r="C140" s="5">
        <v>8099389567</v>
      </c>
      <c r="D140" s="5">
        <v>542405733</v>
      </c>
      <c r="E140" s="6" t="s">
        <v>223</v>
      </c>
      <c r="F140" s="6" t="s">
        <v>223</v>
      </c>
      <c r="H140" s="6" t="s">
        <v>24</v>
      </c>
      <c r="I140" s="6">
        <f>IF(SalesData[[#This Row],[Status of Call]]="completed",1,0)</f>
        <v>0</v>
      </c>
      <c r="J140" s="6">
        <f>1</f>
        <v>1</v>
      </c>
      <c r="K140" s="6">
        <f>SalesData[[#This Row],[Completed calls]]/SalesData[[#This Row],[Total calls]]</f>
        <v>0</v>
      </c>
      <c r="L140" s="4">
        <f t="shared" si="9"/>
        <v>1</v>
      </c>
      <c r="M140" s="4">
        <f t="shared" si="8"/>
        <v>0</v>
      </c>
      <c r="N140" s="4">
        <f t="shared" si="10"/>
        <v>0</v>
      </c>
      <c r="O140" s="7">
        <v>46240</v>
      </c>
      <c r="P140" s="9">
        <v>46240.530601851853</v>
      </c>
      <c r="Q140" s="9">
        <v>46240.530648148146</v>
      </c>
      <c r="R140" s="6">
        <v>5</v>
      </c>
      <c r="S140" s="4">
        <f t="shared" si="11"/>
        <v>0</v>
      </c>
      <c r="U140" s="6" t="s">
        <v>26</v>
      </c>
      <c r="V140" s="6" t="s">
        <v>26</v>
      </c>
      <c r="W140" s="6"/>
    </row>
    <row r="141" spans="1:23" x14ac:dyDescent="0.3">
      <c r="A141" s="3" t="s">
        <v>249</v>
      </c>
      <c r="B141" s="6" t="s">
        <v>21</v>
      </c>
      <c r="C141" s="5">
        <v>8099389567</v>
      </c>
      <c r="D141" s="5">
        <v>836586873</v>
      </c>
      <c r="E141" s="6" t="s">
        <v>223</v>
      </c>
      <c r="F141" s="6" t="s">
        <v>223</v>
      </c>
      <c r="H141" s="6" t="s">
        <v>24</v>
      </c>
      <c r="I141" s="6">
        <f>IF(SalesData[[#This Row],[Status of Call]]="completed",1,0)</f>
        <v>0</v>
      </c>
      <c r="J141" s="6">
        <f>1</f>
        <v>1</v>
      </c>
      <c r="K141" s="6">
        <f>SalesData[[#This Row],[Completed calls]]/SalesData[[#This Row],[Total calls]]</f>
        <v>0</v>
      </c>
      <c r="L141" s="4">
        <f t="shared" si="9"/>
        <v>1</v>
      </c>
      <c r="M141" s="4">
        <f t="shared" si="8"/>
        <v>0</v>
      </c>
      <c r="N141" s="4">
        <f t="shared" si="10"/>
        <v>0</v>
      </c>
      <c r="O141" s="7">
        <v>46240</v>
      </c>
      <c r="P141" s="9">
        <v>46240.627847222226</v>
      </c>
      <c r="Q141" s="9">
        <v>46240.627916666665</v>
      </c>
      <c r="R141" s="6">
        <v>7</v>
      </c>
      <c r="S141" s="4">
        <f t="shared" si="11"/>
        <v>0</v>
      </c>
      <c r="U141" s="6" t="s">
        <v>142</v>
      </c>
      <c r="V141" s="6" t="s">
        <v>26</v>
      </c>
      <c r="W141" s="6"/>
    </row>
    <row r="142" spans="1:23" x14ac:dyDescent="0.3">
      <c r="A142" s="3" t="s">
        <v>250</v>
      </c>
      <c r="B142" s="6" t="s">
        <v>21</v>
      </c>
      <c r="C142" s="5">
        <v>8099389567</v>
      </c>
      <c r="D142" s="5">
        <v>574013651</v>
      </c>
      <c r="E142" s="6" t="s">
        <v>223</v>
      </c>
      <c r="F142" s="6" t="s">
        <v>251</v>
      </c>
      <c r="H142" s="6" t="s">
        <v>32</v>
      </c>
      <c r="I142" s="6">
        <f>IF(SalesData[[#This Row],[Status of Call]]="completed",1,0)</f>
        <v>1</v>
      </c>
      <c r="J142" s="6">
        <f>1</f>
        <v>1</v>
      </c>
      <c r="K142" s="6">
        <f>SalesData[[#This Row],[Completed calls]]/SalesData[[#This Row],[Total calls]]</f>
        <v>1</v>
      </c>
      <c r="L142" s="4">
        <f t="shared" si="9"/>
        <v>1</v>
      </c>
      <c r="M142" s="4">
        <f t="shared" si="8"/>
        <v>0</v>
      </c>
      <c r="N142" s="4">
        <f t="shared" si="10"/>
        <v>1</v>
      </c>
      <c r="O142" s="7">
        <v>46240</v>
      </c>
      <c r="P142" s="9">
        <v>46240.637094907404</v>
      </c>
      <c r="Q142" s="9">
        <v>46240.639606481483</v>
      </c>
      <c r="R142" s="6">
        <v>218</v>
      </c>
      <c r="S142" s="4">
        <f t="shared" si="11"/>
        <v>0</v>
      </c>
      <c r="T142" s="6">
        <v>1.6</v>
      </c>
      <c r="U142" s="6" t="s">
        <v>26</v>
      </c>
      <c r="V142" s="6" t="s">
        <v>26</v>
      </c>
      <c r="W142" s="6"/>
    </row>
    <row r="143" spans="1:23" x14ac:dyDescent="0.3">
      <c r="A143" s="3" t="s">
        <v>252</v>
      </c>
      <c r="B143" s="6" t="s">
        <v>21</v>
      </c>
      <c r="C143" s="5">
        <v>8099389567</v>
      </c>
      <c r="D143" s="5">
        <v>477323957</v>
      </c>
      <c r="E143" s="6" t="s">
        <v>223</v>
      </c>
      <c r="F143" s="6" t="s">
        <v>223</v>
      </c>
      <c r="H143" s="6" t="s">
        <v>24</v>
      </c>
      <c r="I143" s="6">
        <f>IF(SalesData[[#This Row],[Status of Call]]="completed",1,0)</f>
        <v>0</v>
      </c>
      <c r="J143" s="6">
        <f>1</f>
        <v>1</v>
      </c>
      <c r="K143" s="6">
        <f>SalesData[[#This Row],[Completed calls]]/SalesData[[#This Row],[Total calls]]</f>
        <v>0</v>
      </c>
      <c r="L143" s="4">
        <f t="shared" si="9"/>
        <v>1</v>
      </c>
      <c r="M143" s="4">
        <f t="shared" si="8"/>
        <v>0</v>
      </c>
      <c r="N143" s="4">
        <f t="shared" si="10"/>
        <v>0</v>
      </c>
      <c r="O143" s="7">
        <v>46240</v>
      </c>
      <c r="P143" s="9">
        <v>46240.689513888887</v>
      </c>
      <c r="Q143" s="9">
        <v>46240.689583333333</v>
      </c>
      <c r="R143" s="6">
        <v>7</v>
      </c>
      <c r="S143" s="4">
        <f t="shared" si="11"/>
        <v>0</v>
      </c>
      <c r="U143" s="6" t="s">
        <v>253</v>
      </c>
      <c r="V143" s="6" t="s">
        <v>26</v>
      </c>
      <c r="W143" s="6"/>
    </row>
    <row r="144" spans="1:23" x14ac:dyDescent="0.3">
      <c r="A144" s="3" t="s">
        <v>254</v>
      </c>
      <c r="B144" s="6" t="s">
        <v>21</v>
      </c>
      <c r="C144" s="5">
        <v>8099389567</v>
      </c>
      <c r="D144" s="5">
        <v>400844850</v>
      </c>
      <c r="E144" s="6" t="s">
        <v>223</v>
      </c>
      <c r="F144" s="6" t="s">
        <v>251</v>
      </c>
      <c r="H144" s="6" t="s">
        <v>32</v>
      </c>
      <c r="I144" s="6">
        <f>IF(SalesData[[#This Row],[Status of Call]]="completed",1,0)</f>
        <v>1</v>
      </c>
      <c r="J144" s="6">
        <f>1</f>
        <v>1</v>
      </c>
      <c r="K144" s="6">
        <f>SalesData[[#This Row],[Completed calls]]/SalesData[[#This Row],[Total calls]]</f>
        <v>1</v>
      </c>
      <c r="L144" s="4">
        <f t="shared" si="9"/>
        <v>1</v>
      </c>
      <c r="M144" s="4">
        <f t="shared" si="8"/>
        <v>0</v>
      </c>
      <c r="N144" s="4">
        <f t="shared" si="10"/>
        <v>1</v>
      </c>
      <c r="O144" s="7">
        <v>46240</v>
      </c>
      <c r="P144" s="9">
        <v>46240.694548611114</v>
      </c>
      <c r="Q144" s="9">
        <v>46240.696851851855</v>
      </c>
      <c r="R144" s="6">
        <v>199</v>
      </c>
      <c r="S144" s="4">
        <f t="shared" si="11"/>
        <v>0</v>
      </c>
      <c r="T144" s="6">
        <v>1.2</v>
      </c>
      <c r="U144" s="6" t="s">
        <v>255</v>
      </c>
      <c r="V144" s="6" t="s">
        <v>26</v>
      </c>
      <c r="W144" s="6"/>
    </row>
    <row r="145" spans="1:23" x14ac:dyDescent="0.3">
      <c r="A145" s="3" t="s">
        <v>256</v>
      </c>
      <c r="B145" s="6" t="s">
        <v>21</v>
      </c>
      <c r="C145" s="5">
        <v>8099389567</v>
      </c>
      <c r="D145" s="5">
        <v>126623569</v>
      </c>
      <c r="E145" s="6" t="s">
        <v>257</v>
      </c>
      <c r="F145" s="6" t="s">
        <v>223</v>
      </c>
      <c r="H145" s="6" t="s">
        <v>24</v>
      </c>
      <c r="I145" s="6">
        <f>IF(SalesData[[#This Row],[Status of Call]]="completed",1,0)</f>
        <v>0</v>
      </c>
      <c r="J145" s="6">
        <f>1</f>
        <v>1</v>
      </c>
      <c r="K145" s="6">
        <f>SalesData[[#This Row],[Completed calls]]/SalesData[[#This Row],[Total calls]]</f>
        <v>0</v>
      </c>
      <c r="L145" s="4">
        <f t="shared" si="9"/>
        <v>1</v>
      </c>
      <c r="M145" s="4">
        <f t="shared" si="8"/>
        <v>0</v>
      </c>
      <c r="N145" s="4">
        <f t="shared" si="10"/>
        <v>0</v>
      </c>
      <c r="O145" s="7">
        <v>46240</v>
      </c>
      <c r="P145" s="9">
        <v>46240.700543981482</v>
      </c>
      <c r="Q145" s="9">
        <v>46240.700590277775</v>
      </c>
      <c r="R145" s="6">
        <v>5</v>
      </c>
      <c r="S145" s="4">
        <f t="shared" si="11"/>
        <v>0</v>
      </c>
      <c r="U145" s="6" t="s">
        <v>26</v>
      </c>
      <c r="V145" s="6" t="s">
        <v>26</v>
      </c>
      <c r="W145" s="6"/>
    </row>
    <row r="146" spans="1:23" x14ac:dyDescent="0.3">
      <c r="A146" s="3" t="s">
        <v>258</v>
      </c>
      <c r="B146" s="6" t="s">
        <v>21</v>
      </c>
      <c r="C146" s="5">
        <v>8099389567</v>
      </c>
      <c r="D146" s="5">
        <v>523740988</v>
      </c>
      <c r="E146" s="6" t="s">
        <v>223</v>
      </c>
      <c r="F146" s="6" t="s">
        <v>233</v>
      </c>
      <c r="H146" s="6" t="s">
        <v>49</v>
      </c>
      <c r="I146" s="6">
        <f>IF(SalesData[[#This Row],[Status of Call]]="completed",1,0)</f>
        <v>0</v>
      </c>
      <c r="J146" s="6">
        <f>1</f>
        <v>1</v>
      </c>
      <c r="K146" s="6">
        <f>SalesData[[#This Row],[Completed calls]]/SalesData[[#This Row],[Total calls]]</f>
        <v>0</v>
      </c>
      <c r="L146" s="4">
        <f t="shared" si="9"/>
        <v>1</v>
      </c>
      <c r="M146" s="4">
        <f t="shared" si="8"/>
        <v>0</v>
      </c>
      <c r="N146" s="4">
        <f t="shared" si="10"/>
        <v>0</v>
      </c>
      <c r="O146" s="7">
        <v>46240</v>
      </c>
      <c r="P146" s="9">
        <v>46240.72997685185</v>
      </c>
      <c r="Q146" s="9">
        <v>46240.73028935185</v>
      </c>
      <c r="R146" s="6">
        <v>28</v>
      </c>
      <c r="S146" s="4">
        <f t="shared" si="11"/>
        <v>1</v>
      </c>
      <c r="U146" s="6" t="s">
        <v>26</v>
      </c>
      <c r="V146" s="6" t="s">
        <v>26</v>
      </c>
      <c r="W146" s="6"/>
    </row>
    <row r="147" spans="1:23" x14ac:dyDescent="0.3">
      <c r="A147" s="3" t="s">
        <v>259</v>
      </c>
      <c r="B147" s="6" t="s">
        <v>21</v>
      </c>
      <c r="C147" s="5">
        <v>8099389567</v>
      </c>
      <c r="D147" s="5">
        <v>757488498</v>
      </c>
      <c r="E147" s="6" t="s">
        <v>223</v>
      </c>
      <c r="F147" s="6" t="s">
        <v>223</v>
      </c>
      <c r="H147" s="6" t="s">
        <v>24</v>
      </c>
      <c r="I147" s="6">
        <f>IF(SalesData[[#This Row],[Status of Call]]="completed",1,0)</f>
        <v>0</v>
      </c>
      <c r="J147" s="6">
        <f>1</f>
        <v>1</v>
      </c>
      <c r="K147" s="6">
        <f>SalesData[[#This Row],[Completed calls]]/SalesData[[#This Row],[Total calls]]</f>
        <v>0</v>
      </c>
      <c r="L147" s="4">
        <f t="shared" si="9"/>
        <v>1</v>
      </c>
      <c r="M147" s="4">
        <f t="shared" si="8"/>
        <v>0</v>
      </c>
      <c r="N147" s="4">
        <f t="shared" si="10"/>
        <v>0</v>
      </c>
      <c r="O147" s="7">
        <v>46240</v>
      </c>
      <c r="P147" s="9">
        <v>46240.825543981482</v>
      </c>
      <c r="Q147" s="9">
        <v>46240.825613425928</v>
      </c>
      <c r="R147" s="6">
        <v>8</v>
      </c>
      <c r="S147" s="4">
        <f t="shared" si="11"/>
        <v>0</v>
      </c>
      <c r="U147" s="6" t="s">
        <v>163</v>
      </c>
      <c r="V147" s="6" t="s">
        <v>26</v>
      </c>
      <c r="W147" s="6"/>
    </row>
    <row r="148" spans="1:23" x14ac:dyDescent="0.3">
      <c r="A148" s="3" t="s">
        <v>260</v>
      </c>
      <c r="B148" s="6" t="s">
        <v>21</v>
      </c>
      <c r="C148" s="5">
        <v>8099389567</v>
      </c>
      <c r="D148" s="5">
        <v>84824810</v>
      </c>
      <c r="E148" s="6" t="s">
        <v>261</v>
      </c>
      <c r="F148" s="6" t="s">
        <v>251</v>
      </c>
      <c r="H148" s="6" t="s">
        <v>32</v>
      </c>
      <c r="I148" s="6">
        <f>IF(SalesData[[#This Row],[Status of Call]]="completed",1,0)</f>
        <v>1</v>
      </c>
      <c r="J148" s="6">
        <f>1</f>
        <v>1</v>
      </c>
      <c r="K148" s="6">
        <f>SalesData[[#This Row],[Completed calls]]/SalesData[[#This Row],[Total calls]]</f>
        <v>1</v>
      </c>
      <c r="L148" s="4">
        <f t="shared" si="9"/>
        <v>1</v>
      </c>
      <c r="M148" s="4">
        <f t="shared" si="8"/>
        <v>0</v>
      </c>
      <c r="N148" s="4">
        <f t="shared" si="10"/>
        <v>1</v>
      </c>
      <c r="O148" s="7">
        <v>46240</v>
      </c>
      <c r="P148" s="9">
        <v>46240.844074074077</v>
      </c>
      <c r="Q148" s="9">
        <v>46240.844456018516</v>
      </c>
      <c r="R148" s="6">
        <v>34</v>
      </c>
      <c r="S148" s="4">
        <f t="shared" si="11"/>
        <v>0</v>
      </c>
      <c r="T148" s="6">
        <v>0.4</v>
      </c>
      <c r="U148" s="6" t="s">
        <v>26</v>
      </c>
      <c r="V148" s="6" t="s">
        <v>26</v>
      </c>
      <c r="W148" s="6"/>
    </row>
    <row r="149" spans="1:23" x14ac:dyDescent="0.3">
      <c r="A149" s="3" t="s">
        <v>262</v>
      </c>
      <c r="B149" s="6" t="s">
        <v>21</v>
      </c>
      <c r="C149" s="5">
        <v>8099389567</v>
      </c>
      <c r="D149" s="5">
        <v>761906691</v>
      </c>
      <c r="E149" s="6" t="s">
        <v>223</v>
      </c>
      <c r="F149" s="6" t="s">
        <v>251</v>
      </c>
      <c r="H149" s="6" t="s">
        <v>49</v>
      </c>
      <c r="I149" s="6">
        <f>IF(SalesData[[#This Row],[Status of Call]]="completed",1,0)</f>
        <v>0</v>
      </c>
      <c r="J149" s="6">
        <f>1</f>
        <v>1</v>
      </c>
      <c r="K149" s="6">
        <f>SalesData[[#This Row],[Completed calls]]/SalesData[[#This Row],[Total calls]]</f>
        <v>0</v>
      </c>
      <c r="L149" s="4">
        <f t="shared" si="9"/>
        <v>1</v>
      </c>
      <c r="M149" s="4">
        <f t="shared" si="8"/>
        <v>0</v>
      </c>
      <c r="N149" s="4">
        <f t="shared" si="10"/>
        <v>0</v>
      </c>
      <c r="O149" s="7">
        <v>46240</v>
      </c>
      <c r="P149" s="9">
        <v>46240.860023148147</v>
      </c>
      <c r="Q149" s="9">
        <v>46240.860243055555</v>
      </c>
      <c r="R149" s="6">
        <v>21</v>
      </c>
      <c r="S149" s="4">
        <f t="shared" si="11"/>
        <v>1</v>
      </c>
      <c r="U149" s="6" t="s">
        <v>26</v>
      </c>
      <c r="V149" s="6" t="s">
        <v>26</v>
      </c>
      <c r="W149" s="6"/>
    </row>
    <row r="150" spans="1:23" x14ac:dyDescent="0.3">
      <c r="A150" s="3" t="s">
        <v>263</v>
      </c>
      <c r="B150" s="6" t="s">
        <v>21</v>
      </c>
      <c r="C150" s="5">
        <v>8099389567</v>
      </c>
      <c r="D150" s="5">
        <v>390531711</v>
      </c>
      <c r="E150" s="6" t="s">
        <v>223</v>
      </c>
      <c r="F150" s="6" t="s">
        <v>223</v>
      </c>
      <c r="H150" s="6" t="s">
        <v>24</v>
      </c>
      <c r="I150" s="6">
        <f>IF(SalesData[[#This Row],[Status of Call]]="completed",1,0)</f>
        <v>0</v>
      </c>
      <c r="J150" s="6">
        <f>1</f>
        <v>1</v>
      </c>
      <c r="K150" s="6">
        <f>SalesData[[#This Row],[Completed calls]]/SalesData[[#This Row],[Total calls]]</f>
        <v>0</v>
      </c>
      <c r="L150" s="4">
        <f t="shared" si="9"/>
        <v>1</v>
      </c>
      <c r="M150" s="4">
        <f t="shared" si="8"/>
        <v>0</v>
      </c>
      <c r="N150" s="4">
        <f t="shared" si="10"/>
        <v>0</v>
      </c>
      <c r="O150" s="7">
        <v>46240</v>
      </c>
      <c r="P150" s="9">
        <v>46240.890324074076</v>
      </c>
      <c r="Q150" s="9">
        <v>46240.890347222223</v>
      </c>
      <c r="R150" s="6">
        <v>3</v>
      </c>
      <c r="S150" s="4">
        <f t="shared" si="11"/>
        <v>0</v>
      </c>
      <c r="U150" s="6" t="s">
        <v>26</v>
      </c>
      <c r="V150" s="6" t="s">
        <v>26</v>
      </c>
      <c r="W150" s="6"/>
    </row>
    <row r="151" spans="1:23" x14ac:dyDescent="0.3">
      <c r="A151" s="3" t="s">
        <v>264</v>
      </c>
      <c r="B151" s="6" t="s">
        <v>21</v>
      </c>
      <c r="C151" s="5">
        <v>8099389567</v>
      </c>
      <c r="D151" s="5">
        <v>421938664</v>
      </c>
      <c r="E151" s="6" t="s">
        <v>223</v>
      </c>
      <c r="F151" s="6" t="s">
        <v>265</v>
      </c>
      <c r="H151" s="6" t="s">
        <v>32</v>
      </c>
      <c r="I151" s="6">
        <f>IF(SalesData[[#This Row],[Status of Call]]="completed",1,0)</f>
        <v>1</v>
      </c>
      <c r="J151" s="6">
        <f>1</f>
        <v>1</v>
      </c>
      <c r="K151" s="6">
        <f>SalesData[[#This Row],[Completed calls]]/SalesData[[#This Row],[Total calls]]</f>
        <v>1</v>
      </c>
      <c r="L151" s="4">
        <f t="shared" si="9"/>
        <v>1</v>
      </c>
      <c r="M151" s="4">
        <f t="shared" si="8"/>
        <v>0</v>
      </c>
      <c r="N151" s="4">
        <f t="shared" si="10"/>
        <v>1</v>
      </c>
      <c r="O151" s="7">
        <v>46240</v>
      </c>
      <c r="P151" s="9">
        <v>46240.892789351848</v>
      </c>
      <c r="Q151" s="9">
        <v>46240.894687499997</v>
      </c>
      <c r="R151" s="6">
        <v>165</v>
      </c>
      <c r="S151" s="4">
        <f t="shared" si="11"/>
        <v>0</v>
      </c>
      <c r="T151" s="6">
        <v>1.2</v>
      </c>
      <c r="U151" s="6" t="s">
        <v>255</v>
      </c>
      <c r="V151" s="6" t="s">
        <v>26</v>
      </c>
      <c r="W151" s="6"/>
    </row>
    <row r="152" spans="1:23" x14ac:dyDescent="0.3">
      <c r="A152" s="3" t="s">
        <v>266</v>
      </c>
      <c r="B152" s="10" t="s">
        <v>21</v>
      </c>
      <c r="C152" s="5">
        <v>8099389567</v>
      </c>
      <c r="D152" s="5">
        <v>153604843</v>
      </c>
      <c r="E152" s="6" t="s">
        <v>23</v>
      </c>
      <c r="F152" s="10" t="s">
        <v>98</v>
      </c>
      <c r="G152" s="10">
        <v>1000000015</v>
      </c>
      <c r="H152" s="10" t="s">
        <v>24</v>
      </c>
      <c r="I152" s="10">
        <f>IF(SalesData[[#This Row],[Status of Call]]="completed",1,0)</f>
        <v>0</v>
      </c>
      <c r="J152" s="10">
        <f>1</f>
        <v>1</v>
      </c>
      <c r="K152" s="10">
        <f>SalesData[[#This Row],[Completed calls]]/SalesData[[#This Row],[Total calls]]</f>
        <v>0</v>
      </c>
      <c r="L152" s="4">
        <f t="shared" si="9"/>
        <v>1</v>
      </c>
      <c r="M152" s="4">
        <f t="shared" si="8"/>
        <v>0</v>
      </c>
      <c r="N152" s="4">
        <f t="shared" si="10"/>
        <v>0</v>
      </c>
      <c r="O152" s="7">
        <v>46236</v>
      </c>
      <c r="P152" s="9">
        <v>46236.509074074071</v>
      </c>
      <c r="Q152" s="9">
        <v>46236.509247685186</v>
      </c>
      <c r="R152" s="10">
        <v>17</v>
      </c>
      <c r="S152" s="4">
        <f t="shared" si="11"/>
        <v>0</v>
      </c>
      <c r="T152" s="10"/>
      <c r="U152" s="10" t="s">
        <v>26</v>
      </c>
      <c r="V152" s="10" t="s">
        <v>26</v>
      </c>
      <c r="W152" s="6"/>
    </row>
    <row r="153" spans="1:23" x14ac:dyDescent="0.3">
      <c r="A153" s="3" t="s">
        <v>267</v>
      </c>
      <c r="B153" s="6" t="s">
        <v>21</v>
      </c>
      <c r="C153" s="5">
        <v>8099389567</v>
      </c>
      <c r="D153" s="5">
        <v>553911295</v>
      </c>
      <c r="E153" s="6" t="s">
        <v>223</v>
      </c>
      <c r="F153" s="6" t="s">
        <v>223</v>
      </c>
      <c r="H153" s="6" t="s">
        <v>24</v>
      </c>
      <c r="I153" s="6">
        <f>IF(SalesData[[#This Row],[Status of Call]]="completed",1,0)</f>
        <v>0</v>
      </c>
      <c r="J153" s="6">
        <f>1</f>
        <v>1</v>
      </c>
      <c r="K153" s="6">
        <f>SalesData[[#This Row],[Completed calls]]/SalesData[[#This Row],[Total calls]]</f>
        <v>0</v>
      </c>
      <c r="L153" s="4">
        <f t="shared" si="9"/>
        <v>1</v>
      </c>
      <c r="M153" s="4">
        <f t="shared" si="8"/>
        <v>0</v>
      </c>
      <c r="N153" s="4">
        <f t="shared" si="10"/>
        <v>0</v>
      </c>
      <c r="O153" s="7">
        <v>46240</v>
      </c>
      <c r="P153" s="9">
        <v>46240.928252314814</v>
      </c>
      <c r="Q153" s="9">
        <v>46240.928287037037</v>
      </c>
      <c r="R153" s="6">
        <v>4</v>
      </c>
      <c r="S153" s="4">
        <f t="shared" si="11"/>
        <v>0</v>
      </c>
      <c r="U153" s="6" t="s">
        <v>26</v>
      </c>
      <c r="V153" s="6" t="s">
        <v>26</v>
      </c>
      <c r="W153" s="6"/>
    </row>
    <row r="154" spans="1:23" x14ac:dyDescent="0.3">
      <c r="A154" s="3" t="s">
        <v>268</v>
      </c>
      <c r="B154" s="6" t="s">
        <v>21</v>
      </c>
      <c r="C154" s="5">
        <v>8099389567</v>
      </c>
      <c r="D154" s="5">
        <v>771792977</v>
      </c>
      <c r="E154" s="6" t="s">
        <v>223</v>
      </c>
      <c r="F154" s="6" t="s">
        <v>233</v>
      </c>
      <c r="H154" s="6" t="s">
        <v>49</v>
      </c>
      <c r="I154" s="6">
        <f>IF(SalesData[[#This Row],[Status of Call]]="completed",1,0)</f>
        <v>0</v>
      </c>
      <c r="J154" s="6">
        <f>1</f>
        <v>1</v>
      </c>
      <c r="K154" s="6">
        <f>SalesData[[#This Row],[Completed calls]]/SalesData[[#This Row],[Total calls]]</f>
        <v>0</v>
      </c>
      <c r="L154" s="4">
        <f t="shared" si="9"/>
        <v>1</v>
      </c>
      <c r="M154" s="4">
        <f t="shared" si="8"/>
        <v>0</v>
      </c>
      <c r="N154" s="4">
        <f t="shared" si="10"/>
        <v>0</v>
      </c>
      <c r="O154" s="7">
        <v>46240</v>
      </c>
      <c r="P154" s="9">
        <v>46240.929710648146</v>
      </c>
      <c r="Q154" s="9">
        <v>46240.929861111108</v>
      </c>
      <c r="R154" s="6">
        <v>14</v>
      </c>
      <c r="S154" s="4">
        <f t="shared" si="11"/>
        <v>1</v>
      </c>
      <c r="U154" s="6" t="s">
        <v>26</v>
      </c>
      <c r="V154" s="6" t="s">
        <v>26</v>
      </c>
      <c r="W154" s="6"/>
    </row>
    <row r="155" spans="1:23" x14ac:dyDescent="0.3">
      <c r="A155" s="3" t="s">
        <v>269</v>
      </c>
      <c r="B155" s="6" t="s">
        <v>21</v>
      </c>
      <c r="C155" s="5">
        <v>8099389567</v>
      </c>
      <c r="D155" s="5">
        <v>98484974</v>
      </c>
      <c r="E155" s="6" t="s">
        <v>223</v>
      </c>
      <c r="F155" s="6" t="s">
        <v>223</v>
      </c>
      <c r="H155" s="6" t="s">
        <v>24</v>
      </c>
      <c r="I155" s="6">
        <f>IF(SalesData[[#This Row],[Status of Call]]="completed",1,0)</f>
        <v>0</v>
      </c>
      <c r="J155" s="6">
        <f>1</f>
        <v>1</v>
      </c>
      <c r="K155" s="6">
        <f>SalesData[[#This Row],[Completed calls]]/SalesData[[#This Row],[Total calls]]</f>
        <v>0</v>
      </c>
      <c r="L155" s="4">
        <f t="shared" si="9"/>
        <v>1</v>
      </c>
      <c r="M155" s="4">
        <f t="shared" si="8"/>
        <v>0</v>
      </c>
      <c r="N155" s="4">
        <f t="shared" si="10"/>
        <v>0</v>
      </c>
      <c r="O155" s="7">
        <v>46240</v>
      </c>
      <c r="P155" s="9">
        <v>46240.934641203705</v>
      </c>
      <c r="Q155" s="9">
        <v>46240.934745370374</v>
      </c>
      <c r="R155" s="6">
        <v>9</v>
      </c>
      <c r="S155" s="4">
        <f t="shared" si="11"/>
        <v>0</v>
      </c>
      <c r="U155" s="6" t="s">
        <v>26</v>
      </c>
      <c r="V155" s="6" t="s">
        <v>26</v>
      </c>
      <c r="W155" s="6"/>
    </row>
    <row r="156" spans="1:23" x14ac:dyDescent="0.3">
      <c r="A156" s="3" t="s">
        <v>270</v>
      </c>
      <c r="B156" s="6" t="s">
        <v>21</v>
      </c>
      <c r="C156" s="5">
        <v>8099389567</v>
      </c>
      <c r="D156" s="5">
        <v>286324851</v>
      </c>
      <c r="E156" s="6" t="s">
        <v>223</v>
      </c>
      <c r="F156" s="6" t="s">
        <v>223</v>
      </c>
      <c r="H156" s="6" t="s">
        <v>24</v>
      </c>
      <c r="I156" s="6">
        <f>IF(SalesData[[#This Row],[Status of Call]]="completed",1,0)</f>
        <v>0</v>
      </c>
      <c r="J156" s="6">
        <f>1</f>
        <v>1</v>
      </c>
      <c r="K156" s="6">
        <f>SalesData[[#This Row],[Completed calls]]/SalesData[[#This Row],[Total calls]]</f>
        <v>0</v>
      </c>
      <c r="L156" s="4">
        <f t="shared" si="9"/>
        <v>1</v>
      </c>
      <c r="M156" s="4">
        <f t="shared" si="8"/>
        <v>0</v>
      </c>
      <c r="N156" s="4">
        <f t="shared" si="10"/>
        <v>0</v>
      </c>
      <c r="O156" s="7">
        <v>46240</v>
      </c>
      <c r="P156" s="9">
        <v>46240.959247685183</v>
      </c>
      <c r="Q156" s="9">
        <v>46240.959317129629</v>
      </c>
      <c r="R156" s="6">
        <v>6</v>
      </c>
      <c r="S156" s="4">
        <f t="shared" si="11"/>
        <v>0</v>
      </c>
      <c r="U156" s="6" t="s">
        <v>26</v>
      </c>
      <c r="V156" s="6" t="s">
        <v>26</v>
      </c>
      <c r="W156" s="6"/>
    </row>
    <row r="157" spans="1:23" x14ac:dyDescent="0.3">
      <c r="A157" s="3" t="s">
        <v>271</v>
      </c>
      <c r="B157" s="6" t="s">
        <v>21</v>
      </c>
      <c r="C157" s="5">
        <v>8099389567</v>
      </c>
      <c r="D157" s="5">
        <v>972256832</v>
      </c>
      <c r="E157" s="6" t="s">
        <v>223</v>
      </c>
      <c r="F157" s="6" t="s">
        <v>223</v>
      </c>
      <c r="H157" s="6" t="s">
        <v>24</v>
      </c>
      <c r="I157" s="6">
        <f>IF(SalesData[[#This Row],[Status of Call]]="completed",1,0)</f>
        <v>0</v>
      </c>
      <c r="J157" s="6">
        <f>1</f>
        <v>1</v>
      </c>
      <c r="K157" s="6">
        <f>SalesData[[#This Row],[Completed calls]]/SalesData[[#This Row],[Total calls]]</f>
        <v>0</v>
      </c>
      <c r="L157" s="4">
        <f t="shared" si="9"/>
        <v>1</v>
      </c>
      <c r="M157" s="4">
        <f t="shared" si="8"/>
        <v>0</v>
      </c>
      <c r="N157" s="4">
        <f t="shared" si="10"/>
        <v>0</v>
      </c>
      <c r="O157" s="7">
        <v>46240</v>
      </c>
      <c r="P157" s="9">
        <v>46240.986145833333</v>
      </c>
      <c r="Q157" s="9">
        <v>46240.986087962963</v>
      </c>
      <c r="R157" s="6">
        <v>1</v>
      </c>
      <c r="S157" s="4">
        <f t="shared" si="11"/>
        <v>0</v>
      </c>
      <c r="U157" s="6" t="s">
        <v>26</v>
      </c>
      <c r="V157" s="6" t="s">
        <v>26</v>
      </c>
      <c r="W157" s="6"/>
    </row>
    <row r="158" spans="1:23" x14ac:dyDescent="0.3">
      <c r="A158" s="3" t="s">
        <v>272</v>
      </c>
      <c r="B158" s="6" t="s">
        <v>21</v>
      </c>
      <c r="C158" s="5">
        <v>8099389567</v>
      </c>
      <c r="D158" s="5">
        <v>704574043</v>
      </c>
      <c r="E158" s="6" t="s">
        <v>223</v>
      </c>
      <c r="F158" s="6" t="s">
        <v>223</v>
      </c>
      <c r="H158" s="6" t="s">
        <v>24</v>
      </c>
      <c r="I158" s="6">
        <f>IF(SalesData[[#This Row],[Status of Call]]="completed",1,0)</f>
        <v>0</v>
      </c>
      <c r="J158" s="6">
        <f>1</f>
        <v>1</v>
      </c>
      <c r="K158" s="6">
        <f>SalesData[[#This Row],[Completed calls]]/SalesData[[#This Row],[Total calls]]</f>
        <v>0</v>
      </c>
      <c r="L158" s="4">
        <f t="shared" si="9"/>
        <v>1</v>
      </c>
      <c r="M158" s="4">
        <f t="shared" si="8"/>
        <v>0</v>
      </c>
      <c r="N158" s="4">
        <f t="shared" si="10"/>
        <v>0</v>
      </c>
      <c r="O158" s="7">
        <v>46240</v>
      </c>
      <c r="P158" s="9">
        <v>46240.995752314811</v>
      </c>
      <c r="Q158" s="9">
        <v>46240.995775462965</v>
      </c>
      <c r="R158" s="6">
        <v>3</v>
      </c>
      <c r="S158" s="4">
        <f t="shared" si="11"/>
        <v>0</v>
      </c>
      <c r="U158" s="6" t="s">
        <v>26</v>
      </c>
      <c r="V158" s="6" t="s">
        <v>26</v>
      </c>
      <c r="W158" s="6"/>
    </row>
    <row r="159" spans="1:23" x14ac:dyDescent="0.3">
      <c r="A159" s="3" t="s">
        <v>273</v>
      </c>
      <c r="B159" s="6" t="s">
        <v>21</v>
      </c>
      <c r="C159" s="5">
        <v>8099389567</v>
      </c>
      <c r="D159" s="5">
        <v>199611280</v>
      </c>
      <c r="E159" s="6" t="s">
        <v>223</v>
      </c>
      <c r="F159" s="6" t="s">
        <v>240</v>
      </c>
      <c r="H159" s="6" t="s">
        <v>32</v>
      </c>
      <c r="I159" s="6">
        <f>IF(SalesData[[#This Row],[Status of Call]]="completed",1,0)</f>
        <v>1</v>
      </c>
      <c r="J159" s="6">
        <f>1</f>
        <v>1</v>
      </c>
      <c r="K159" s="6">
        <f>SalesData[[#This Row],[Completed calls]]/SalesData[[#This Row],[Total calls]]</f>
        <v>1</v>
      </c>
      <c r="L159" s="4">
        <f t="shared" si="9"/>
        <v>1</v>
      </c>
      <c r="M159" s="4">
        <f t="shared" si="8"/>
        <v>0</v>
      </c>
      <c r="N159" s="4">
        <f t="shared" si="10"/>
        <v>1</v>
      </c>
      <c r="O159" s="7">
        <v>46241</v>
      </c>
      <c r="P159" s="9">
        <v>46241.367349537039</v>
      </c>
      <c r="Q159" s="9">
        <v>46241.370173611111</v>
      </c>
      <c r="R159" s="6">
        <v>245</v>
      </c>
      <c r="S159" s="4">
        <f t="shared" si="11"/>
        <v>0</v>
      </c>
      <c r="T159" s="6">
        <v>1.6</v>
      </c>
      <c r="U159" s="6" t="s">
        <v>26</v>
      </c>
      <c r="V159" s="6" t="s">
        <v>26</v>
      </c>
      <c r="W159" s="6"/>
    </row>
    <row r="160" spans="1:23" x14ac:dyDescent="0.3">
      <c r="A160" s="3" t="s">
        <v>274</v>
      </c>
      <c r="B160" s="6" t="s">
        <v>21</v>
      </c>
      <c r="C160" s="5">
        <v>8099389567</v>
      </c>
      <c r="D160" s="5">
        <v>715639529</v>
      </c>
      <c r="E160" s="6" t="s">
        <v>223</v>
      </c>
      <c r="F160" s="6" t="s">
        <v>223</v>
      </c>
      <c r="H160" s="6" t="s">
        <v>24</v>
      </c>
      <c r="I160" s="6">
        <f>IF(SalesData[[#This Row],[Status of Call]]="completed",1,0)</f>
        <v>0</v>
      </c>
      <c r="J160" s="6">
        <f>1</f>
        <v>1</v>
      </c>
      <c r="K160" s="6">
        <f>SalesData[[#This Row],[Completed calls]]/SalesData[[#This Row],[Total calls]]</f>
        <v>0</v>
      </c>
      <c r="L160" s="4">
        <f t="shared" si="9"/>
        <v>1</v>
      </c>
      <c r="M160" s="4">
        <f t="shared" si="8"/>
        <v>0</v>
      </c>
      <c r="N160" s="4">
        <f t="shared" si="10"/>
        <v>0</v>
      </c>
      <c r="O160" s="7">
        <v>46241</v>
      </c>
      <c r="P160" s="9">
        <v>46241.396423611113</v>
      </c>
      <c r="Q160" s="9">
        <v>46241.396504629629</v>
      </c>
      <c r="R160" s="6">
        <v>8</v>
      </c>
      <c r="S160" s="4">
        <f t="shared" si="11"/>
        <v>0</v>
      </c>
      <c r="U160" s="6" t="s">
        <v>26</v>
      </c>
      <c r="V160" s="6" t="s">
        <v>26</v>
      </c>
      <c r="W160" s="6"/>
    </row>
    <row r="161" spans="1:23" x14ac:dyDescent="0.3">
      <c r="A161" s="3" t="s">
        <v>275</v>
      </c>
      <c r="B161" s="6" t="s">
        <v>21</v>
      </c>
      <c r="C161" s="5">
        <v>8099389567</v>
      </c>
      <c r="D161" s="5">
        <v>236866065</v>
      </c>
      <c r="E161" s="6" t="s">
        <v>223</v>
      </c>
      <c r="F161" s="6" t="s">
        <v>223</v>
      </c>
      <c r="H161" s="6" t="s">
        <v>24</v>
      </c>
      <c r="I161" s="6">
        <f>IF(SalesData[[#This Row],[Status of Call]]="completed",1,0)</f>
        <v>0</v>
      </c>
      <c r="J161" s="6">
        <f>1</f>
        <v>1</v>
      </c>
      <c r="K161" s="6">
        <f>SalesData[[#This Row],[Completed calls]]/SalesData[[#This Row],[Total calls]]</f>
        <v>0</v>
      </c>
      <c r="L161" s="4">
        <f t="shared" si="9"/>
        <v>1</v>
      </c>
      <c r="M161" s="4">
        <f t="shared" si="8"/>
        <v>0</v>
      </c>
      <c r="N161" s="4">
        <f t="shared" si="10"/>
        <v>0</v>
      </c>
      <c r="O161" s="7">
        <v>46241</v>
      </c>
      <c r="P161" s="9">
        <v>46241.411724537036</v>
      </c>
      <c r="Q161" s="9">
        <v>46241.411932870367</v>
      </c>
      <c r="R161" s="6">
        <v>19</v>
      </c>
      <c r="S161" s="4">
        <f t="shared" si="11"/>
        <v>0</v>
      </c>
      <c r="U161" s="6" t="s">
        <v>142</v>
      </c>
      <c r="V161" s="6" t="s">
        <v>26</v>
      </c>
      <c r="W161" s="6"/>
    </row>
    <row r="162" spans="1:23" x14ac:dyDescent="0.3">
      <c r="A162" s="3" t="s">
        <v>276</v>
      </c>
      <c r="B162" s="6" t="s">
        <v>21</v>
      </c>
      <c r="C162" s="5">
        <v>8099389567</v>
      </c>
      <c r="D162" s="5">
        <v>804783022</v>
      </c>
      <c r="E162" s="6" t="s">
        <v>223</v>
      </c>
      <c r="F162" s="6" t="s">
        <v>246</v>
      </c>
      <c r="H162" s="6" t="s">
        <v>32</v>
      </c>
      <c r="I162" s="6">
        <f>IF(SalesData[[#This Row],[Status of Call]]="completed",1,0)</f>
        <v>1</v>
      </c>
      <c r="J162" s="6">
        <f>1</f>
        <v>1</v>
      </c>
      <c r="K162" s="6">
        <f>SalesData[[#This Row],[Completed calls]]/SalesData[[#This Row],[Total calls]]</f>
        <v>1</v>
      </c>
      <c r="L162" s="4">
        <f t="shared" si="9"/>
        <v>1</v>
      </c>
      <c r="M162" s="4">
        <f t="shared" si="8"/>
        <v>0</v>
      </c>
      <c r="N162" s="4">
        <f t="shared" si="10"/>
        <v>1</v>
      </c>
      <c r="O162" s="7">
        <v>46241</v>
      </c>
      <c r="P162" s="9">
        <v>46241.519918981481</v>
      </c>
      <c r="Q162" s="9">
        <v>46241.527349537035</v>
      </c>
      <c r="R162" s="6">
        <v>642</v>
      </c>
      <c r="S162" s="4">
        <f t="shared" si="11"/>
        <v>0</v>
      </c>
      <c r="T162" s="6">
        <v>4.4000000000000004</v>
      </c>
      <c r="U162" s="6" t="s">
        <v>26</v>
      </c>
      <c r="V162" s="6" t="s">
        <v>26</v>
      </c>
      <c r="W162" s="6"/>
    </row>
    <row r="163" spans="1:23" x14ac:dyDescent="0.3">
      <c r="A163" s="3" t="s">
        <v>277</v>
      </c>
      <c r="B163" s="6" t="s">
        <v>21</v>
      </c>
      <c r="C163" s="5">
        <v>8099389567</v>
      </c>
      <c r="D163" s="5">
        <v>147231369</v>
      </c>
      <c r="E163" s="6" t="s">
        <v>223</v>
      </c>
      <c r="F163" s="6" t="s">
        <v>278</v>
      </c>
      <c r="H163" s="6" t="s">
        <v>32</v>
      </c>
      <c r="I163" s="6">
        <f>IF(SalesData[[#This Row],[Status of Call]]="completed",1,0)</f>
        <v>1</v>
      </c>
      <c r="J163" s="6">
        <f>1</f>
        <v>1</v>
      </c>
      <c r="K163" s="6">
        <f>SalesData[[#This Row],[Completed calls]]/SalesData[[#This Row],[Total calls]]</f>
        <v>1</v>
      </c>
      <c r="L163" s="4">
        <f t="shared" si="9"/>
        <v>1</v>
      </c>
      <c r="M163" s="4">
        <f t="shared" si="8"/>
        <v>0</v>
      </c>
      <c r="N163" s="4">
        <f t="shared" si="10"/>
        <v>1</v>
      </c>
      <c r="O163" s="7">
        <v>46241</v>
      </c>
      <c r="P163" s="9">
        <v>46241.527766203704</v>
      </c>
      <c r="Q163" s="9">
        <v>46241.53329861111</v>
      </c>
      <c r="R163" s="6">
        <v>478</v>
      </c>
      <c r="S163" s="4">
        <f t="shared" si="11"/>
        <v>0</v>
      </c>
      <c r="T163" s="6">
        <v>3.2</v>
      </c>
      <c r="U163" s="6" t="s">
        <v>26</v>
      </c>
      <c r="V163" s="6" t="s">
        <v>26</v>
      </c>
      <c r="W163" s="6"/>
    </row>
    <row r="164" spans="1:23" x14ac:dyDescent="0.3">
      <c r="A164" s="3" t="s">
        <v>279</v>
      </c>
      <c r="B164" s="6" t="s">
        <v>21</v>
      </c>
      <c r="C164" s="5">
        <v>8099389567</v>
      </c>
      <c r="D164" s="5">
        <v>434689963</v>
      </c>
      <c r="E164" s="6" t="s">
        <v>223</v>
      </c>
      <c r="F164" s="6" t="s">
        <v>243</v>
      </c>
      <c r="H164" s="6" t="s">
        <v>32</v>
      </c>
      <c r="I164" s="6">
        <f>IF(SalesData[[#This Row],[Status of Call]]="completed",1,0)</f>
        <v>1</v>
      </c>
      <c r="J164" s="6">
        <f>1</f>
        <v>1</v>
      </c>
      <c r="K164" s="6">
        <f>SalesData[[#This Row],[Completed calls]]/SalesData[[#This Row],[Total calls]]</f>
        <v>1</v>
      </c>
      <c r="L164" s="4">
        <f t="shared" si="9"/>
        <v>1</v>
      </c>
      <c r="M164" s="4">
        <f t="shared" si="8"/>
        <v>0</v>
      </c>
      <c r="N164" s="4">
        <f t="shared" si="10"/>
        <v>1</v>
      </c>
      <c r="O164" s="7">
        <v>46241</v>
      </c>
      <c r="P164" s="9">
        <v>46241.533530092594</v>
      </c>
      <c r="Q164" s="9">
        <v>46241.542627314811</v>
      </c>
      <c r="R164" s="6">
        <v>786</v>
      </c>
      <c r="S164" s="4">
        <f t="shared" si="11"/>
        <v>0</v>
      </c>
      <c r="T164" s="6">
        <v>5.2</v>
      </c>
      <c r="U164" s="6" t="s">
        <v>26</v>
      </c>
      <c r="V164" s="6" t="s">
        <v>26</v>
      </c>
      <c r="W164" s="6"/>
    </row>
    <row r="165" spans="1:23" x14ac:dyDescent="0.3">
      <c r="A165" s="3" t="s">
        <v>280</v>
      </c>
      <c r="B165" s="6" t="s">
        <v>21</v>
      </c>
      <c r="C165" s="5">
        <v>8099389567</v>
      </c>
      <c r="D165" s="5">
        <v>966974040</v>
      </c>
      <c r="E165" s="6" t="s">
        <v>223</v>
      </c>
      <c r="F165" s="6" t="s">
        <v>251</v>
      </c>
      <c r="H165" s="6" t="s">
        <v>32</v>
      </c>
      <c r="I165" s="6">
        <f>IF(SalesData[[#This Row],[Status of Call]]="completed",1,0)</f>
        <v>1</v>
      </c>
      <c r="J165" s="6">
        <f>1</f>
        <v>1</v>
      </c>
      <c r="K165" s="6">
        <f>SalesData[[#This Row],[Completed calls]]/SalesData[[#This Row],[Total calls]]</f>
        <v>1</v>
      </c>
      <c r="L165" s="4">
        <f t="shared" si="9"/>
        <v>1</v>
      </c>
      <c r="M165" s="4">
        <f t="shared" si="8"/>
        <v>0</v>
      </c>
      <c r="N165" s="4">
        <f t="shared" si="10"/>
        <v>1</v>
      </c>
      <c r="O165" s="7">
        <v>46241</v>
      </c>
      <c r="P165" s="9">
        <v>46241.54283564815</v>
      </c>
      <c r="Q165" s="9">
        <v>46241.548518518517</v>
      </c>
      <c r="R165" s="6">
        <v>492</v>
      </c>
      <c r="S165" s="4">
        <f t="shared" si="11"/>
        <v>0</v>
      </c>
      <c r="T165" s="6">
        <v>3.2</v>
      </c>
      <c r="U165" s="6" t="s">
        <v>26</v>
      </c>
      <c r="V165" s="6" t="s">
        <v>26</v>
      </c>
      <c r="W165" s="6"/>
    </row>
    <row r="166" spans="1:23" x14ac:dyDescent="0.3">
      <c r="A166" s="3" t="s">
        <v>281</v>
      </c>
      <c r="B166" s="6" t="s">
        <v>21</v>
      </c>
      <c r="C166" s="5">
        <v>8099389567</v>
      </c>
      <c r="D166" s="5">
        <v>248716961</v>
      </c>
      <c r="E166" s="6" t="s">
        <v>223</v>
      </c>
      <c r="F166" s="6" t="s">
        <v>240</v>
      </c>
      <c r="H166" s="6" t="s">
        <v>32</v>
      </c>
      <c r="I166" s="6">
        <f>IF(SalesData[[#This Row],[Status of Call]]="completed",1,0)</f>
        <v>1</v>
      </c>
      <c r="J166" s="6">
        <f>1</f>
        <v>1</v>
      </c>
      <c r="K166" s="6">
        <f>SalesData[[#This Row],[Completed calls]]/SalesData[[#This Row],[Total calls]]</f>
        <v>1</v>
      </c>
      <c r="L166" s="4">
        <f t="shared" si="9"/>
        <v>1</v>
      </c>
      <c r="M166" s="4">
        <f t="shared" si="8"/>
        <v>0</v>
      </c>
      <c r="N166" s="4">
        <f t="shared" si="10"/>
        <v>1</v>
      </c>
      <c r="O166" s="7">
        <v>46241</v>
      </c>
      <c r="P166" s="9">
        <v>46241.544074074074</v>
      </c>
      <c r="Q166" s="9">
        <v>46241.544386574074</v>
      </c>
      <c r="R166" s="6">
        <v>29</v>
      </c>
      <c r="S166" s="4">
        <f t="shared" si="11"/>
        <v>0</v>
      </c>
      <c r="T166" s="6">
        <v>0.4</v>
      </c>
      <c r="U166" s="6" t="s">
        <v>183</v>
      </c>
      <c r="V166" s="6" t="s">
        <v>26</v>
      </c>
      <c r="W166" s="6"/>
    </row>
    <row r="167" spans="1:23" x14ac:dyDescent="0.3">
      <c r="A167" s="3" t="s">
        <v>282</v>
      </c>
      <c r="B167" s="6" t="s">
        <v>21</v>
      </c>
      <c r="C167" s="5">
        <v>8099389567</v>
      </c>
      <c r="D167" s="5">
        <v>61147498</v>
      </c>
      <c r="E167" s="6" t="s">
        <v>283</v>
      </c>
      <c r="F167" s="6" t="s">
        <v>223</v>
      </c>
      <c r="H167" s="6" t="s">
        <v>24</v>
      </c>
      <c r="I167" s="6">
        <f>IF(SalesData[[#This Row],[Status of Call]]="completed",1,0)</f>
        <v>0</v>
      </c>
      <c r="J167" s="6">
        <f>1</f>
        <v>1</v>
      </c>
      <c r="K167" s="6">
        <f>SalesData[[#This Row],[Completed calls]]/SalesData[[#This Row],[Total calls]]</f>
        <v>0</v>
      </c>
      <c r="L167" s="4">
        <f t="shared" si="9"/>
        <v>1</v>
      </c>
      <c r="M167" s="4">
        <f t="shared" si="8"/>
        <v>0</v>
      </c>
      <c r="N167" s="4">
        <f t="shared" si="10"/>
        <v>0</v>
      </c>
      <c r="O167" s="7">
        <v>46241</v>
      </c>
      <c r="P167" s="9">
        <v>46241.554814814815</v>
      </c>
      <c r="Q167" s="9">
        <v>46241.554837962962</v>
      </c>
      <c r="R167" s="6">
        <v>3</v>
      </c>
      <c r="S167" s="4">
        <f t="shared" si="11"/>
        <v>0</v>
      </c>
      <c r="U167" s="6" t="s">
        <v>26</v>
      </c>
      <c r="V167" s="6" t="s">
        <v>26</v>
      </c>
      <c r="W167" s="6"/>
    </row>
    <row r="168" spans="1:23" x14ac:dyDescent="0.3">
      <c r="A168" s="3" t="s">
        <v>284</v>
      </c>
      <c r="B168" s="6" t="s">
        <v>21</v>
      </c>
      <c r="C168" s="5">
        <v>8099389567</v>
      </c>
      <c r="D168" s="5">
        <v>628474813</v>
      </c>
      <c r="E168" s="6" t="s">
        <v>223</v>
      </c>
      <c r="F168" s="6" t="s">
        <v>246</v>
      </c>
      <c r="H168" s="6" t="s">
        <v>32</v>
      </c>
      <c r="I168" s="6">
        <f>IF(SalesData[[#This Row],[Status of Call]]="completed",1,0)</f>
        <v>1</v>
      </c>
      <c r="J168" s="6">
        <f>1</f>
        <v>1</v>
      </c>
      <c r="K168" s="6">
        <f>SalesData[[#This Row],[Completed calls]]/SalesData[[#This Row],[Total calls]]</f>
        <v>1</v>
      </c>
      <c r="L168" s="4">
        <f t="shared" si="9"/>
        <v>1</v>
      </c>
      <c r="M168" s="4">
        <f t="shared" si="8"/>
        <v>0</v>
      </c>
      <c r="N168" s="4">
        <f t="shared" si="10"/>
        <v>1</v>
      </c>
      <c r="O168" s="7">
        <v>46241</v>
      </c>
      <c r="P168" s="9">
        <v>46241.570335648146</v>
      </c>
      <c r="Q168" s="9">
        <v>46241.577881944446</v>
      </c>
      <c r="R168" s="6">
        <v>653</v>
      </c>
      <c r="S168" s="4">
        <f t="shared" si="11"/>
        <v>0</v>
      </c>
      <c r="T168" s="6">
        <v>4.4000000000000004</v>
      </c>
      <c r="U168" s="6" t="s">
        <v>26</v>
      </c>
      <c r="V168" s="6" t="s">
        <v>26</v>
      </c>
      <c r="W168" s="6"/>
    </row>
    <row r="169" spans="1:23" x14ac:dyDescent="0.3">
      <c r="A169" s="3" t="s">
        <v>285</v>
      </c>
      <c r="B169" s="6" t="s">
        <v>21</v>
      </c>
      <c r="C169" s="5">
        <v>8099389567</v>
      </c>
      <c r="D169" s="5">
        <v>846055718</v>
      </c>
      <c r="E169" s="6" t="s">
        <v>223</v>
      </c>
      <c r="F169" s="6" t="s">
        <v>278</v>
      </c>
      <c r="H169" s="6" t="s">
        <v>32</v>
      </c>
      <c r="I169" s="6">
        <f>IF(SalesData[[#This Row],[Status of Call]]="completed",1,0)</f>
        <v>1</v>
      </c>
      <c r="J169" s="6">
        <f>1</f>
        <v>1</v>
      </c>
      <c r="K169" s="6">
        <f>SalesData[[#This Row],[Completed calls]]/SalesData[[#This Row],[Total calls]]</f>
        <v>1</v>
      </c>
      <c r="L169" s="4">
        <f t="shared" si="9"/>
        <v>1</v>
      </c>
      <c r="M169" s="4">
        <f t="shared" si="8"/>
        <v>0</v>
      </c>
      <c r="N169" s="4">
        <f t="shared" si="10"/>
        <v>1</v>
      </c>
      <c r="O169" s="7">
        <v>46241</v>
      </c>
      <c r="P169" s="9">
        <v>46241.590173611112</v>
      </c>
      <c r="Q169" s="9">
        <v>46241.591041666667</v>
      </c>
      <c r="R169" s="6">
        <v>72</v>
      </c>
      <c r="S169" s="4">
        <f t="shared" si="11"/>
        <v>0</v>
      </c>
      <c r="T169" s="6">
        <v>0.4</v>
      </c>
      <c r="U169" s="6" t="s">
        <v>42</v>
      </c>
      <c r="V169" s="6" t="s">
        <v>26</v>
      </c>
      <c r="W169" s="6"/>
    </row>
    <row r="170" spans="1:23" x14ac:dyDescent="0.3">
      <c r="A170" s="3" t="s">
        <v>286</v>
      </c>
      <c r="B170" s="6" t="s">
        <v>21</v>
      </c>
      <c r="C170" s="5">
        <v>8099389567</v>
      </c>
      <c r="D170" s="5">
        <v>387225827</v>
      </c>
      <c r="E170" s="6" t="s">
        <v>223</v>
      </c>
      <c r="F170" s="6" t="s">
        <v>240</v>
      </c>
      <c r="H170" s="6" t="s">
        <v>49</v>
      </c>
      <c r="I170" s="6">
        <f>IF(SalesData[[#This Row],[Status of Call]]="completed",1,0)</f>
        <v>0</v>
      </c>
      <c r="J170" s="6">
        <f>1</f>
        <v>1</v>
      </c>
      <c r="K170" s="6">
        <f>SalesData[[#This Row],[Completed calls]]/SalesData[[#This Row],[Total calls]]</f>
        <v>0</v>
      </c>
      <c r="L170" s="4">
        <f t="shared" si="9"/>
        <v>1</v>
      </c>
      <c r="M170" s="4">
        <f t="shared" si="8"/>
        <v>0</v>
      </c>
      <c r="N170" s="4">
        <f t="shared" si="10"/>
        <v>0</v>
      </c>
      <c r="O170" s="7">
        <v>46241</v>
      </c>
      <c r="P170" s="9">
        <v>46241.64371527778</v>
      </c>
      <c r="Q170" s="9">
        <v>46241.644062500003</v>
      </c>
      <c r="R170" s="6">
        <v>30</v>
      </c>
      <c r="S170" s="4">
        <f t="shared" si="11"/>
        <v>1</v>
      </c>
      <c r="U170" s="6" t="s">
        <v>188</v>
      </c>
      <c r="V170" s="6" t="s">
        <v>26</v>
      </c>
      <c r="W170" s="6"/>
    </row>
    <row r="171" spans="1:23" x14ac:dyDescent="0.3">
      <c r="A171" s="3" t="s">
        <v>287</v>
      </c>
      <c r="B171" s="10" t="s">
        <v>21</v>
      </c>
      <c r="C171" s="5">
        <v>8099389567</v>
      </c>
      <c r="D171" s="5">
        <v>306273472</v>
      </c>
      <c r="E171" s="6" t="s">
        <v>38</v>
      </c>
      <c r="F171" s="10" t="s">
        <v>150</v>
      </c>
      <c r="G171" s="10">
        <v>1000000038</v>
      </c>
      <c r="H171" s="10" t="s">
        <v>24</v>
      </c>
      <c r="I171" s="10">
        <f>IF(SalesData[[#This Row],[Status of Call]]="completed",1,0)</f>
        <v>0</v>
      </c>
      <c r="J171" s="10">
        <f>1</f>
        <v>1</v>
      </c>
      <c r="K171" s="10">
        <f>SalesData[[#This Row],[Completed calls]]/SalesData[[#This Row],[Total calls]]</f>
        <v>0</v>
      </c>
      <c r="L171" s="4">
        <f t="shared" si="9"/>
        <v>1</v>
      </c>
      <c r="M171" s="4">
        <f t="shared" si="8"/>
        <v>0</v>
      </c>
      <c r="N171" s="4">
        <f t="shared" si="10"/>
        <v>0</v>
      </c>
      <c r="O171" s="7">
        <v>46236</v>
      </c>
      <c r="P171" s="9">
        <v>46236.542650462965</v>
      </c>
      <c r="Q171" s="9">
        <v>46236.542743055557</v>
      </c>
      <c r="R171" s="10">
        <v>9</v>
      </c>
      <c r="S171" s="4">
        <f t="shared" si="11"/>
        <v>0</v>
      </c>
      <c r="T171" s="10"/>
      <c r="U171" s="10" t="s">
        <v>26</v>
      </c>
      <c r="V171" s="10" t="s">
        <v>26</v>
      </c>
      <c r="W171" s="6"/>
    </row>
    <row r="172" spans="1:23" x14ac:dyDescent="0.3">
      <c r="A172" s="3" t="s">
        <v>288</v>
      </c>
      <c r="B172" s="6" t="s">
        <v>21</v>
      </c>
      <c r="C172" s="5">
        <v>8099389567</v>
      </c>
      <c r="D172" s="5">
        <v>746788561</v>
      </c>
      <c r="E172" s="6" t="s">
        <v>223</v>
      </c>
      <c r="F172" s="6" t="s">
        <v>223</v>
      </c>
      <c r="H172" s="6" t="s">
        <v>24</v>
      </c>
      <c r="I172" s="6">
        <f>IF(SalesData[[#This Row],[Status of Call]]="completed",1,0)</f>
        <v>0</v>
      </c>
      <c r="J172" s="6">
        <f>1</f>
        <v>1</v>
      </c>
      <c r="K172" s="6">
        <f>SalesData[[#This Row],[Completed calls]]/SalesData[[#This Row],[Total calls]]</f>
        <v>0</v>
      </c>
      <c r="L172" s="4">
        <f t="shared" si="9"/>
        <v>1</v>
      </c>
      <c r="M172" s="4">
        <f t="shared" si="8"/>
        <v>0</v>
      </c>
      <c r="N172" s="4">
        <f t="shared" si="10"/>
        <v>0</v>
      </c>
      <c r="O172" s="7">
        <v>46241</v>
      </c>
      <c r="P172" s="9">
        <v>46241.677361111113</v>
      </c>
      <c r="Q172" s="9">
        <v>46241.677395833336</v>
      </c>
      <c r="R172" s="6">
        <v>4</v>
      </c>
      <c r="S172" s="4">
        <f t="shared" si="11"/>
        <v>0</v>
      </c>
      <c r="U172" s="6" t="s">
        <v>26</v>
      </c>
      <c r="V172" s="6" t="s">
        <v>26</v>
      </c>
      <c r="W172" s="6"/>
    </row>
    <row r="173" spans="1:23" x14ac:dyDescent="0.3">
      <c r="A173" s="3" t="s">
        <v>289</v>
      </c>
      <c r="B173" s="6" t="s">
        <v>21</v>
      </c>
      <c r="C173" s="5">
        <v>8099389567</v>
      </c>
      <c r="D173" s="5">
        <v>897029269</v>
      </c>
      <c r="E173" s="6" t="s">
        <v>223</v>
      </c>
      <c r="F173" s="6" t="s">
        <v>246</v>
      </c>
      <c r="H173" s="6" t="s">
        <v>32</v>
      </c>
      <c r="I173" s="6">
        <f>IF(SalesData[[#This Row],[Status of Call]]="completed",1,0)</f>
        <v>1</v>
      </c>
      <c r="J173" s="6">
        <f>1</f>
        <v>1</v>
      </c>
      <c r="K173" s="6">
        <f>SalesData[[#This Row],[Completed calls]]/SalesData[[#This Row],[Total calls]]</f>
        <v>1</v>
      </c>
      <c r="L173" s="4">
        <f t="shared" si="9"/>
        <v>1</v>
      </c>
      <c r="M173" s="4">
        <f t="shared" si="8"/>
        <v>0</v>
      </c>
      <c r="N173" s="4">
        <f t="shared" si="10"/>
        <v>1</v>
      </c>
      <c r="O173" s="7">
        <v>46241</v>
      </c>
      <c r="P173" s="9">
        <v>46241.690324074072</v>
      </c>
      <c r="Q173" s="9">
        <v>46241.69059027778</v>
      </c>
      <c r="R173" s="6">
        <v>23</v>
      </c>
      <c r="S173" s="4">
        <f t="shared" si="11"/>
        <v>0</v>
      </c>
      <c r="T173" s="6">
        <v>0.4</v>
      </c>
      <c r="U173" s="6" t="s">
        <v>26</v>
      </c>
      <c r="V173" s="6" t="s">
        <v>26</v>
      </c>
      <c r="W173" s="6"/>
    </row>
    <row r="174" spans="1:23" x14ac:dyDescent="0.3">
      <c r="A174" s="3" t="s">
        <v>290</v>
      </c>
      <c r="B174" s="6" t="s">
        <v>21</v>
      </c>
      <c r="C174" s="5">
        <v>8099389567</v>
      </c>
      <c r="D174" s="5">
        <v>977968572</v>
      </c>
      <c r="E174" s="6" t="s">
        <v>223</v>
      </c>
      <c r="F174" s="6" t="s">
        <v>223</v>
      </c>
      <c r="H174" s="6" t="s">
        <v>49</v>
      </c>
      <c r="I174" s="6">
        <f>IF(SalesData[[#This Row],[Status of Call]]="completed",1,0)</f>
        <v>0</v>
      </c>
      <c r="J174" s="6">
        <f>1</f>
        <v>1</v>
      </c>
      <c r="K174" s="6">
        <f>SalesData[[#This Row],[Completed calls]]/SalesData[[#This Row],[Total calls]]</f>
        <v>0</v>
      </c>
      <c r="L174" s="4">
        <f t="shared" si="9"/>
        <v>1</v>
      </c>
      <c r="M174" s="4">
        <f t="shared" si="8"/>
        <v>0</v>
      </c>
      <c r="N174" s="4">
        <f t="shared" si="10"/>
        <v>0</v>
      </c>
      <c r="O174" s="7">
        <v>46241</v>
      </c>
      <c r="P174" s="9">
        <v>46241.751597222225</v>
      </c>
      <c r="Q174" s="9">
        <v>46241.751712962963</v>
      </c>
      <c r="R174" s="6">
        <v>11</v>
      </c>
      <c r="S174" s="4">
        <f t="shared" si="11"/>
        <v>1</v>
      </c>
      <c r="U174" s="6" t="s">
        <v>188</v>
      </c>
      <c r="V174" s="6" t="s">
        <v>26</v>
      </c>
      <c r="W174" s="6"/>
    </row>
    <row r="175" spans="1:23" x14ac:dyDescent="0.3">
      <c r="A175" s="3" t="s">
        <v>291</v>
      </c>
      <c r="B175" s="6" t="s">
        <v>21</v>
      </c>
      <c r="C175" s="5">
        <v>8099389567</v>
      </c>
      <c r="D175" s="5">
        <v>361224392</v>
      </c>
      <c r="E175" s="6" t="s">
        <v>223</v>
      </c>
      <c r="F175" s="6" t="s">
        <v>265</v>
      </c>
      <c r="H175" s="6" t="s">
        <v>32</v>
      </c>
      <c r="I175" s="6">
        <f>IF(SalesData[[#This Row],[Status of Call]]="completed",1,0)</f>
        <v>1</v>
      </c>
      <c r="J175" s="6">
        <f>1</f>
        <v>1</v>
      </c>
      <c r="K175" s="6">
        <f>SalesData[[#This Row],[Completed calls]]/SalesData[[#This Row],[Total calls]]</f>
        <v>1</v>
      </c>
      <c r="L175" s="4">
        <f t="shared" si="9"/>
        <v>1</v>
      </c>
      <c r="M175" s="4">
        <f t="shared" si="8"/>
        <v>0</v>
      </c>
      <c r="N175" s="4">
        <f t="shared" si="10"/>
        <v>1</v>
      </c>
      <c r="O175" s="7">
        <v>46241</v>
      </c>
      <c r="P175" s="9">
        <v>46241.77480324074</v>
      </c>
      <c r="Q175" s="9">
        <v>46241.781041666669</v>
      </c>
      <c r="R175" s="6">
        <v>539</v>
      </c>
      <c r="S175" s="4">
        <f t="shared" si="11"/>
        <v>0</v>
      </c>
      <c r="T175" s="6">
        <v>3.6</v>
      </c>
      <c r="U175" s="6" t="s">
        <v>26</v>
      </c>
      <c r="V175" s="6" t="s">
        <v>26</v>
      </c>
      <c r="W175" s="6"/>
    </row>
    <row r="176" spans="1:23" x14ac:dyDescent="0.3">
      <c r="A176" s="3" t="s">
        <v>292</v>
      </c>
      <c r="B176" s="6" t="s">
        <v>21</v>
      </c>
      <c r="C176" s="5">
        <v>8099389567</v>
      </c>
      <c r="D176" s="5">
        <v>528602130</v>
      </c>
      <c r="E176" s="6" t="s">
        <v>223</v>
      </c>
      <c r="F176" s="6" t="s">
        <v>251</v>
      </c>
      <c r="H176" s="6" t="s">
        <v>32</v>
      </c>
      <c r="I176" s="6">
        <f>IF(SalesData[[#This Row],[Status of Call]]="completed",1,0)</f>
        <v>1</v>
      </c>
      <c r="J176" s="6">
        <f>1</f>
        <v>1</v>
      </c>
      <c r="K176" s="6">
        <f>SalesData[[#This Row],[Completed calls]]/SalesData[[#This Row],[Total calls]]</f>
        <v>1</v>
      </c>
      <c r="L176" s="4">
        <f t="shared" si="9"/>
        <v>1</v>
      </c>
      <c r="M176" s="4">
        <f t="shared" si="8"/>
        <v>0</v>
      </c>
      <c r="N176" s="4">
        <f t="shared" si="10"/>
        <v>1</v>
      </c>
      <c r="O176" s="7">
        <v>46241</v>
      </c>
      <c r="P176" s="9">
        <v>46241.785069444442</v>
      </c>
      <c r="Q176" s="9">
        <v>46241.793692129628</v>
      </c>
      <c r="R176" s="6">
        <v>746</v>
      </c>
      <c r="S176" s="4">
        <f t="shared" si="11"/>
        <v>0</v>
      </c>
      <c r="T176" s="6">
        <v>4.8</v>
      </c>
      <c r="U176" s="6" t="s">
        <v>183</v>
      </c>
      <c r="V176" s="6" t="s">
        <v>26</v>
      </c>
      <c r="W176" s="6"/>
    </row>
    <row r="177" spans="1:23" x14ac:dyDescent="0.3">
      <c r="A177" s="3" t="s">
        <v>293</v>
      </c>
      <c r="B177" s="6" t="s">
        <v>21</v>
      </c>
      <c r="C177" s="5">
        <v>8099389567</v>
      </c>
      <c r="D177" s="5">
        <v>153145980</v>
      </c>
      <c r="E177" s="6" t="s">
        <v>223</v>
      </c>
      <c r="F177" s="6" t="s">
        <v>223</v>
      </c>
      <c r="H177" s="6" t="s">
        <v>49</v>
      </c>
      <c r="I177" s="6">
        <f>IF(SalesData[[#This Row],[Status of Call]]="completed",1,0)</f>
        <v>0</v>
      </c>
      <c r="J177" s="6">
        <f>1</f>
        <v>1</v>
      </c>
      <c r="K177" s="6">
        <f>SalesData[[#This Row],[Completed calls]]/SalesData[[#This Row],[Total calls]]</f>
        <v>0</v>
      </c>
      <c r="L177" s="4">
        <f t="shared" si="9"/>
        <v>1</v>
      </c>
      <c r="M177" s="4">
        <f t="shared" si="8"/>
        <v>0</v>
      </c>
      <c r="N177" s="4">
        <f t="shared" si="10"/>
        <v>0</v>
      </c>
      <c r="O177" s="7">
        <v>46241</v>
      </c>
      <c r="P177" s="9">
        <v>46241.788287037038</v>
      </c>
      <c r="Q177" s="9">
        <v>46241.788541666669</v>
      </c>
      <c r="R177" s="6">
        <v>23</v>
      </c>
      <c r="S177" s="4">
        <f t="shared" si="11"/>
        <v>1</v>
      </c>
      <c r="U177" s="6" t="s">
        <v>26</v>
      </c>
      <c r="V177" s="6" t="s">
        <v>26</v>
      </c>
      <c r="W177" s="6"/>
    </row>
    <row r="178" spans="1:23" x14ac:dyDescent="0.3">
      <c r="A178" s="3" t="s">
        <v>294</v>
      </c>
      <c r="B178" s="6" t="s">
        <v>21</v>
      </c>
      <c r="C178" s="5">
        <v>8099389567</v>
      </c>
      <c r="D178" s="5">
        <v>475244184</v>
      </c>
      <c r="E178" s="6" t="s">
        <v>223</v>
      </c>
      <c r="F178" s="6" t="s">
        <v>223</v>
      </c>
      <c r="H178" s="6" t="s">
        <v>24</v>
      </c>
      <c r="I178" s="6">
        <f>IF(SalesData[[#This Row],[Status of Call]]="completed",1,0)</f>
        <v>0</v>
      </c>
      <c r="J178" s="6">
        <f>1</f>
        <v>1</v>
      </c>
      <c r="K178" s="6">
        <f>SalesData[[#This Row],[Completed calls]]/SalesData[[#This Row],[Total calls]]</f>
        <v>0</v>
      </c>
      <c r="L178" s="4">
        <f t="shared" si="9"/>
        <v>1</v>
      </c>
      <c r="M178" s="4">
        <f t="shared" si="8"/>
        <v>0</v>
      </c>
      <c r="N178" s="4">
        <f t="shared" si="10"/>
        <v>0</v>
      </c>
      <c r="O178" s="7">
        <v>46241</v>
      </c>
      <c r="P178" s="9">
        <v>46241.788495370369</v>
      </c>
      <c r="Q178" s="9">
        <v>46241.788518518515</v>
      </c>
      <c r="R178" s="6">
        <v>3</v>
      </c>
      <c r="S178" s="4">
        <f t="shared" si="11"/>
        <v>0</v>
      </c>
      <c r="U178" s="6" t="s">
        <v>26</v>
      </c>
      <c r="V178" s="6" t="s">
        <v>26</v>
      </c>
      <c r="W178" s="6"/>
    </row>
    <row r="179" spans="1:23" x14ac:dyDescent="0.3">
      <c r="A179" s="3" t="s">
        <v>295</v>
      </c>
      <c r="B179" s="6" t="s">
        <v>21</v>
      </c>
      <c r="C179" s="5">
        <v>8099389567</v>
      </c>
      <c r="D179" s="5">
        <v>351506220</v>
      </c>
      <c r="E179" s="6" t="s">
        <v>223</v>
      </c>
      <c r="F179" s="6" t="s">
        <v>223</v>
      </c>
      <c r="H179" s="6" t="s">
        <v>24</v>
      </c>
      <c r="I179" s="6">
        <f>IF(SalesData[[#This Row],[Status of Call]]="completed",1,0)</f>
        <v>0</v>
      </c>
      <c r="J179" s="6">
        <f>1</f>
        <v>1</v>
      </c>
      <c r="K179" s="6">
        <f>SalesData[[#This Row],[Completed calls]]/SalesData[[#This Row],[Total calls]]</f>
        <v>0</v>
      </c>
      <c r="L179" s="4">
        <f t="shared" si="9"/>
        <v>1</v>
      </c>
      <c r="M179" s="4">
        <f t="shared" si="8"/>
        <v>0</v>
      </c>
      <c r="N179" s="4">
        <f t="shared" si="10"/>
        <v>0</v>
      </c>
      <c r="O179" s="7">
        <v>46241</v>
      </c>
      <c r="P179" s="9">
        <v>46241.894328703704</v>
      </c>
      <c r="Q179" s="9">
        <v>46241.89439814815</v>
      </c>
      <c r="R179" s="6">
        <v>6</v>
      </c>
      <c r="S179" s="4">
        <f t="shared" si="11"/>
        <v>0</v>
      </c>
      <c r="U179" s="6" t="s">
        <v>26</v>
      </c>
      <c r="V179" s="6" t="s">
        <v>26</v>
      </c>
      <c r="W179" s="6"/>
    </row>
    <row r="180" spans="1:23" x14ac:dyDescent="0.3">
      <c r="A180" s="3" t="s">
        <v>296</v>
      </c>
      <c r="B180" s="6" t="s">
        <v>21</v>
      </c>
      <c r="C180" s="5">
        <v>8099389567</v>
      </c>
      <c r="D180" s="5">
        <v>705230835</v>
      </c>
      <c r="E180" s="6" t="s">
        <v>223</v>
      </c>
      <c r="F180" s="6" t="s">
        <v>223</v>
      </c>
      <c r="H180" s="6" t="s">
        <v>24</v>
      </c>
      <c r="I180" s="6">
        <f>IF(SalesData[[#This Row],[Status of Call]]="completed",1,0)</f>
        <v>0</v>
      </c>
      <c r="J180" s="6">
        <f>1</f>
        <v>1</v>
      </c>
      <c r="K180" s="6">
        <f>SalesData[[#This Row],[Completed calls]]/SalesData[[#This Row],[Total calls]]</f>
        <v>0</v>
      </c>
      <c r="L180" s="4">
        <f t="shared" si="9"/>
        <v>1</v>
      </c>
      <c r="M180" s="4">
        <f t="shared" si="8"/>
        <v>0</v>
      </c>
      <c r="N180" s="4">
        <f t="shared" si="10"/>
        <v>0</v>
      </c>
      <c r="O180" s="7">
        <v>46241</v>
      </c>
      <c r="P180" s="9">
        <v>46241.902361111112</v>
      </c>
      <c r="Q180" s="9">
        <v>46241.902465277781</v>
      </c>
      <c r="R180" s="6">
        <v>10</v>
      </c>
      <c r="S180" s="4">
        <f t="shared" si="11"/>
        <v>0</v>
      </c>
      <c r="U180" s="6" t="s">
        <v>26</v>
      </c>
      <c r="V180" s="6" t="s">
        <v>26</v>
      </c>
      <c r="W180" s="6"/>
    </row>
    <row r="181" spans="1:23" x14ac:dyDescent="0.3">
      <c r="A181" s="3" t="s">
        <v>297</v>
      </c>
      <c r="B181" s="6" t="s">
        <v>21</v>
      </c>
      <c r="C181" s="5">
        <v>8099389567</v>
      </c>
      <c r="D181" s="5">
        <v>69683547</v>
      </c>
      <c r="E181" s="6" t="s">
        <v>223</v>
      </c>
      <c r="F181" s="6" t="s">
        <v>223</v>
      </c>
      <c r="H181" s="6" t="s">
        <v>24</v>
      </c>
      <c r="I181" s="6">
        <f>IF(SalesData[[#This Row],[Status of Call]]="completed",1,0)</f>
        <v>0</v>
      </c>
      <c r="J181" s="6">
        <f>1</f>
        <v>1</v>
      </c>
      <c r="K181" s="6">
        <f>SalesData[[#This Row],[Completed calls]]/SalesData[[#This Row],[Total calls]]</f>
        <v>0</v>
      </c>
      <c r="L181" s="4">
        <f t="shared" si="9"/>
        <v>1</v>
      </c>
      <c r="M181" s="4">
        <f t="shared" si="8"/>
        <v>0</v>
      </c>
      <c r="N181" s="4">
        <f t="shared" si="10"/>
        <v>0</v>
      </c>
      <c r="O181" s="7">
        <v>46241</v>
      </c>
      <c r="P181" s="9">
        <v>46241.946932870371</v>
      </c>
      <c r="Q181" s="9">
        <v>46241.947094907409</v>
      </c>
      <c r="R181" s="6">
        <v>15</v>
      </c>
      <c r="S181" s="4">
        <f t="shared" si="11"/>
        <v>0</v>
      </c>
      <c r="U181" s="6" t="s">
        <v>142</v>
      </c>
      <c r="V181" s="6" t="s">
        <v>26</v>
      </c>
      <c r="W181" s="6"/>
    </row>
    <row r="182" spans="1:23" x14ac:dyDescent="0.3">
      <c r="A182" s="3" t="s">
        <v>298</v>
      </c>
      <c r="B182" s="10" t="s">
        <v>21</v>
      </c>
      <c r="C182" s="5">
        <v>8099389567</v>
      </c>
      <c r="D182" s="5">
        <v>200686377</v>
      </c>
      <c r="E182" s="6" t="s">
        <v>70</v>
      </c>
      <c r="F182" s="10" t="s">
        <v>64</v>
      </c>
      <c r="G182" s="10">
        <v>1000000001</v>
      </c>
      <c r="H182" s="10" t="s">
        <v>49</v>
      </c>
      <c r="I182" s="10">
        <f>IF(SalesData[[#This Row],[Status of Call]]="completed",1,0)</f>
        <v>0</v>
      </c>
      <c r="J182" s="10">
        <f>1</f>
        <v>1</v>
      </c>
      <c r="K182" s="10">
        <f>SalesData[[#This Row],[Completed calls]]/SalesData[[#This Row],[Total calls]]</f>
        <v>0</v>
      </c>
      <c r="L182" s="4">
        <f t="shared" si="9"/>
        <v>1</v>
      </c>
      <c r="M182" s="4">
        <f t="shared" si="8"/>
        <v>0</v>
      </c>
      <c r="N182" s="4">
        <f t="shared" si="10"/>
        <v>0</v>
      </c>
      <c r="O182" s="7">
        <v>46236</v>
      </c>
      <c r="P182" s="9">
        <v>46236.551238425927</v>
      </c>
      <c r="Q182" s="9">
        <v>46236.552071759259</v>
      </c>
      <c r="R182" s="10">
        <v>73</v>
      </c>
      <c r="S182" s="4">
        <f t="shared" si="11"/>
        <v>1</v>
      </c>
      <c r="T182" s="10"/>
      <c r="U182" s="10" t="s">
        <v>26</v>
      </c>
      <c r="V182" s="10" t="s">
        <v>26</v>
      </c>
      <c r="W182" s="6"/>
    </row>
    <row r="183" spans="1:23" x14ac:dyDescent="0.3">
      <c r="A183" s="3" t="s">
        <v>299</v>
      </c>
      <c r="B183" s="10" t="s">
        <v>21</v>
      </c>
      <c r="C183" s="5">
        <v>8099389567</v>
      </c>
      <c r="D183" s="5">
        <v>475825571</v>
      </c>
      <c r="E183" s="6" t="s">
        <v>137</v>
      </c>
      <c r="F183" s="10" t="s">
        <v>54</v>
      </c>
      <c r="G183" s="10">
        <v>1000000011</v>
      </c>
      <c r="H183" s="10" t="s">
        <v>32</v>
      </c>
      <c r="I183" s="10">
        <f>IF(SalesData[[#This Row],[Status of Call]]="completed",1,0)</f>
        <v>1</v>
      </c>
      <c r="J183" s="10">
        <f>1</f>
        <v>1</v>
      </c>
      <c r="K183" s="10">
        <f>SalesData[[#This Row],[Completed calls]]/SalesData[[#This Row],[Total calls]]</f>
        <v>1</v>
      </c>
      <c r="L183" s="4">
        <f t="shared" si="9"/>
        <v>1</v>
      </c>
      <c r="M183" s="4">
        <f t="shared" si="8"/>
        <v>0</v>
      </c>
      <c r="N183" s="4">
        <f t="shared" si="10"/>
        <v>1</v>
      </c>
      <c r="O183" s="7">
        <v>46236</v>
      </c>
      <c r="P183" s="9">
        <v>46236.562326388892</v>
      </c>
      <c r="Q183" s="9">
        <v>46236.566296296296</v>
      </c>
      <c r="R183" s="10">
        <v>344</v>
      </c>
      <c r="S183" s="4">
        <f t="shared" si="11"/>
        <v>0</v>
      </c>
      <c r="T183" s="10">
        <v>2.4</v>
      </c>
      <c r="U183" s="10" t="s">
        <v>26</v>
      </c>
      <c r="V183" s="10" t="s">
        <v>26</v>
      </c>
      <c r="W183" s="6"/>
    </row>
    <row r="184" spans="1:23" x14ac:dyDescent="0.3">
      <c r="A184" s="3" t="s">
        <v>300</v>
      </c>
      <c r="B184" s="10" t="s">
        <v>21</v>
      </c>
      <c r="C184" s="5">
        <v>8099389567</v>
      </c>
      <c r="D184" s="5">
        <v>896686854</v>
      </c>
      <c r="E184" s="6" t="s">
        <v>197</v>
      </c>
      <c r="F184" s="10" t="s">
        <v>38</v>
      </c>
      <c r="G184" s="10">
        <v>1000000028</v>
      </c>
      <c r="H184" s="10" t="s">
        <v>32</v>
      </c>
      <c r="I184" s="10">
        <f>IF(SalesData[[#This Row],[Status of Call]]="completed",1,0)</f>
        <v>1</v>
      </c>
      <c r="J184" s="10">
        <f>1</f>
        <v>1</v>
      </c>
      <c r="K184" s="10">
        <f>SalesData[[#This Row],[Completed calls]]/SalesData[[#This Row],[Total calls]]</f>
        <v>1</v>
      </c>
      <c r="L184" s="4">
        <f t="shared" si="9"/>
        <v>1</v>
      </c>
      <c r="M184" s="4">
        <f t="shared" si="8"/>
        <v>0</v>
      </c>
      <c r="N184" s="4">
        <f t="shared" si="10"/>
        <v>1</v>
      </c>
      <c r="O184" s="7">
        <v>46236</v>
      </c>
      <c r="P184" s="9">
        <v>46236.565416666665</v>
      </c>
      <c r="Q184" s="9">
        <v>46236.572939814818</v>
      </c>
      <c r="R184" s="10">
        <v>651</v>
      </c>
      <c r="S184" s="4">
        <f t="shared" si="11"/>
        <v>0</v>
      </c>
      <c r="T184" s="10">
        <v>4.4000000000000004</v>
      </c>
      <c r="U184" s="10" t="s">
        <v>26</v>
      </c>
      <c r="V184" s="10" t="s">
        <v>26</v>
      </c>
      <c r="W184" s="6"/>
    </row>
    <row r="185" spans="1:23" x14ac:dyDescent="0.3">
      <c r="A185" s="3" t="s">
        <v>301</v>
      </c>
      <c r="B185" s="10" t="s">
        <v>21</v>
      </c>
      <c r="C185" s="5">
        <v>8099389567</v>
      </c>
      <c r="D185" s="5">
        <v>807021618</v>
      </c>
      <c r="E185" s="6" t="s">
        <v>60</v>
      </c>
      <c r="F185" s="10" t="s">
        <v>23</v>
      </c>
      <c r="G185" s="10">
        <v>1000000014</v>
      </c>
      <c r="H185" s="10" t="s">
        <v>24</v>
      </c>
      <c r="I185" s="10">
        <f>IF(SalesData[[#This Row],[Status of Call]]="completed",1,0)</f>
        <v>0</v>
      </c>
      <c r="J185" s="10">
        <f>1</f>
        <v>1</v>
      </c>
      <c r="K185" s="10">
        <f>SalesData[[#This Row],[Completed calls]]/SalesData[[#This Row],[Total calls]]</f>
        <v>0</v>
      </c>
      <c r="L185" s="4">
        <f t="shared" si="9"/>
        <v>1</v>
      </c>
      <c r="M185" s="4">
        <f t="shared" si="8"/>
        <v>0</v>
      </c>
      <c r="N185" s="4">
        <f t="shared" si="10"/>
        <v>0</v>
      </c>
      <c r="O185" s="7">
        <v>46236</v>
      </c>
      <c r="P185" s="9">
        <v>46236.590104166666</v>
      </c>
      <c r="Q185" s="9">
        <v>46236.590127314812</v>
      </c>
      <c r="R185" s="10">
        <v>3</v>
      </c>
      <c r="S185" s="4">
        <f t="shared" si="11"/>
        <v>0</v>
      </c>
      <c r="T185" s="10"/>
      <c r="U185" s="10" t="s">
        <v>26</v>
      </c>
      <c r="V185" s="10" t="s">
        <v>26</v>
      </c>
      <c r="W185" s="6"/>
    </row>
    <row r="186" spans="1:23" x14ac:dyDescent="0.3">
      <c r="A186" s="3" t="s">
        <v>302</v>
      </c>
      <c r="B186" s="10" t="s">
        <v>21</v>
      </c>
      <c r="C186" s="5">
        <v>8099389567</v>
      </c>
      <c r="D186" s="5">
        <v>648826840</v>
      </c>
      <c r="E186" s="6" t="s">
        <v>47</v>
      </c>
      <c r="F186" s="10" t="s">
        <v>68</v>
      </c>
      <c r="G186" s="10">
        <v>1000000007</v>
      </c>
      <c r="H186" s="10" t="s">
        <v>32</v>
      </c>
      <c r="I186" s="10">
        <f>IF(SalesData[[#This Row],[Status of Call]]="completed",1,0)</f>
        <v>1</v>
      </c>
      <c r="J186" s="10">
        <f>1</f>
        <v>1</v>
      </c>
      <c r="K186" s="10">
        <f>SalesData[[#This Row],[Completed calls]]/SalesData[[#This Row],[Total calls]]</f>
        <v>1</v>
      </c>
      <c r="L186" s="4">
        <f t="shared" si="9"/>
        <v>1</v>
      </c>
      <c r="M186" s="4">
        <f t="shared" si="8"/>
        <v>0</v>
      </c>
      <c r="N186" s="4">
        <f t="shared" si="10"/>
        <v>1</v>
      </c>
      <c r="O186" s="7">
        <v>46236</v>
      </c>
      <c r="P186" s="9">
        <v>46236.603888888887</v>
      </c>
      <c r="Q186" s="9">
        <v>46236.605162037034</v>
      </c>
      <c r="R186" s="10">
        <v>111</v>
      </c>
      <c r="S186" s="4">
        <f t="shared" si="11"/>
        <v>0</v>
      </c>
      <c r="T186" s="10">
        <v>0.8</v>
      </c>
      <c r="U186" s="10" t="s">
        <v>26</v>
      </c>
      <c r="V186" s="10" t="s">
        <v>26</v>
      </c>
      <c r="W186" s="6"/>
    </row>
    <row r="187" spans="1:23" x14ac:dyDescent="0.3">
      <c r="A187" s="3" t="s">
        <v>303</v>
      </c>
      <c r="B187" s="10" t="s">
        <v>21</v>
      </c>
      <c r="C187" s="5">
        <v>8099389567</v>
      </c>
      <c r="D187" s="5">
        <v>414700804</v>
      </c>
      <c r="E187" s="6" t="s">
        <v>101</v>
      </c>
      <c r="F187" s="10" t="s">
        <v>203</v>
      </c>
      <c r="G187" s="10">
        <v>1000000025</v>
      </c>
      <c r="H187" s="10" t="s">
        <v>49</v>
      </c>
      <c r="I187" s="10">
        <f>IF(SalesData[[#This Row],[Status of Call]]="completed",1,0)</f>
        <v>0</v>
      </c>
      <c r="J187" s="10">
        <f>1</f>
        <v>1</v>
      </c>
      <c r="K187" s="10">
        <f>SalesData[[#This Row],[Completed calls]]/SalesData[[#This Row],[Total calls]]</f>
        <v>0</v>
      </c>
      <c r="L187" s="4">
        <f t="shared" si="9"/>
        <v>1</v>
      </c>
      <c r="M187" s="4">
        <f t="shared" si="8"/>
        <v>0</v>
      </c>
      <c r="N187" s="4">
        <f t="shared" si="10"/>
        <v>0</v>
      </c>
      <c r="O187" s="7">
        <v>46236</v>
      </c>
      <c r="P187" s="9">
        <v>46236.616099537037</v>
      </c>
      <c r="Q187" s="9">
        <v>46236.616666666669</v>
      </c>
      <c r="R187" s="10">
        <v>51</v>
      </c>
      <c r="S187" s="4">
        <f t="shared" si="11"/>
        <v>1</v>
      </c>
      <c r="T187" s="10"/>
      <c r="U187" s="10" t="s">
        <v>206</v>
      </c>
      <c r="V187" s="10" t="s">
        <v>26</v>
      </c>
      <c r="W187" s="6"/>
    </row>
    <row r="188" spans="1:23" x14ac:dyDescent="0.3">
      <c r="A188" s="3" t="s">
        <v>304</v>
      </c>
      <c r="B188" s="10" t="s">
        <v>21</v>
      </c>
      <c r="C188" s="5">
        <v>8099389567</v>
      </c>
      <c r="D188" s="5">
        <v>423783481</v>
      </c>
      <c r="E188" s="6" t="s">
        <v>145</v>
      </c>
      <c r="F188" s="10" t="s">
        <v>305</v>
      </c>
      <c r="G188" s="10">
        <v>1000000023</v>
      </c>
      <c r="H188" s="10" t="s">
        <v>32</v>
      </c>
      <c r="I188" s="10">
        <f>IF(SalesData[[#This Row],[Status of Call]]="completed",1,0)</f>
        <v>1</v>
      </c>
      <c r="J188" s="10">
        <f>1</f>
        <v>1</v>
      </c>
      <c r="K188" s="10">
        <f>SalesData[[#This Row],[Completed calls]]/SalesData[[#This Row],[Total calls]]</f>
        <v>1</v>
      </c>
      <c r="L188" s="4">
        <f t="shared" si="9"/>
        <v>1</v>
      </c>
      <c r="M188" s="4">
        <f t="shared" si="8"/>
        <v>0</v>
      </c>
      <c r="N188" s="4">
        <f t="shared" si="10"/>
        <v>1</v>
      </c>
      <c r="O188" s="7">
        <v>46236</v>
      </c>
      <c r="P188" s="9">
        <v>46236.652199074073</v>
      </c>
      <c r="Q188" s="9">
        <v>46236.655787037038</v>
      </c>
      <c r="R188" s="10">
        <v>317</v>
      </c>
      <c r="S188" s="4">
        <f t="shared" si="11"/>
        <v>0</v>
      </c>
      <c r="T188" s="10">
        <v>2</v>
      </c>
      <c r="U188" s="10" t="s">
        <v>26</v>
      </c>
      <c r="V188" s="10" t="s">
        <v>26</v>
      </c>
      <c r="W188" s="6"/>
    </row>
    <row r="189" spans="1:23" x14ac:dyDescent="0.3">
      <c r="A189" s="3" t="s">
        <v>306</v>
      </c>
      <c r="B189" s="10" t="s">
        <v>21</v>
      </c>
      <c r="C189" s="5">
        <v>8099389567</v>
      </c>
      <c r="D189" s="5">
        <v>742747614</v>
      </c>
      <c r="E189" s="6" t="s">
        <v>58</v>
      </c>
      <c r="F189" s="10" t="s">
        <v>35</v>
      </c>
      <c r="G189" s="10">
        <v>1000000017</v>
      </c>
      <c r="H189" s="10" t="s">
        <v>32</v>
      </c>
      <c r="I189" s="10">
        <f>IF(SalesData[[#This Row],[Status of Call]]="completed",1,0)</f>
        <v>1</v>
      </c>
      <c r="J189" s="10">
        <f>1</f>
        <v>1</v>
      </c>
      <c r="K189" s="10">
        <f>SalesData[[#This Row],[Completed calls]]/SalesData[[#This Row],[Total calls]]</f>
        <v>1</v>
      </c>
      <c r="L189" s="4">
        <f t="shared" si="9"/>
        <v>1</v>
      </c>
      <c r="M189" s="4">
        <f t="shared" si="8"/>
        <v>0</v>
      </c>
      <c r="N189" s="4">
        <f t="shared" si="10"/>
        <v>1</v>
      </c>
      <c r="O189" s="7">
        <v>46236</v>
      </c>
      <c r="P189" s="9">
        <v>46236.670543981483</v>
      </c>
      <c r="Q189" s="9">
        <v>46236.672268518516</v>
      </c>
      <c r="R189" s="10">
        <v>150</v>
      </c>
      <c r="S189" s="4">
        <f t="shared" si="11"/>
        <v>0</v>
      </c>
      <c r="T189" s="10">
        <v>0.8</v>
      </c>
      <c r="U189" s="10" t="s">
        <v>255</v>
      </c>
      <c r="V189" s="10" t="s">
        <v>26</v>
      </c>
      <c r="W189" s="6"/>
    </row>
    <row r="190" spans="1:23" x14ac:dyDescent="0.3">
      <c r="A190" s="3" t="s">
        <v>307</v>
      </c>
      <c r="B190" s="10" t="s">
        <v>21</v>
      </c>
      <c r="C190" s="5">
        <v>8099389567</v>
      </c>
      <c r="D190" s="5">
        <v>630930776</v>
      </c>
      <c r="E190" s="6" t="s">
        <v>37</v>
      </c>
      <c r="F190" s="10" t="s">
        <v>74</v>
      </c>
      <c r="G190" s="10">
        <v>1000000003</v>
      </c>
      <c r="H190" s="10" t="s">
        <v>32</v>
      </c>
      <c r="I190" s="10">
        <f>IF(SalesData[[#This Row],[Status of Call]]="completed",1,0)</f>
        <v>1</v>
      </c>
      <c r="J190" s="10">
        <f>1</f>
        <v>1</v>
      </c>
      <c r="K190" s="10">
        <f>SalesData[[#This Row],[Completed calls]]/SalesData[[#This Row],[Total calls]]</f>
        <v>1</v>
      </c>
      <c r="L190" s="4">
        <f t="shared" si="9"/>
        <v>1</v>
      </c>
      <c r="M190" s="4">
        <f t="shared" si="8"/>
        <v>0</v>
      </c>
      <c r="N190" s="4">
        <f t="shared" si="10"/>
        <v>1</v>
      </c>
      <c r="O190" s="7">
        <v>46236</v>
      </c>
      <c r="P190" s="9">
        <v>46236.690659722219</v>
      </c>
      <c r="Q190" s="9">
        <v>46236.706388888888</v>
      </c>
      <c r="R190" s="10">
        <v>1359</v>
      </c>
      <c r="S190" s="4">
        <f t="shared" si="11"/>
        <v>0</v>
      </c>
      <c r="T190" s="10">
        <v>9.1999999999999993</v>
      </c>
      <c r="U190" s="10" t="s">
        <v>26</v>
      </c>
      <c r="V190" s="10" t="s">
        <v>26</v>
      </c>
      <c r="W190" s="6"/>
    </row>
    <row r="191" spans="1:23" x14ac:dyDescent="0.3">
      <c r="A191" s="3" t="s">
        <v>308</v>
      </c>
      <c r="B191" s="10" t="s">
        <v>21</v>
      </c>
      <c r="C191" s="5">
        <v>8099389567</v>
      </c>
      <c r="D191" s="5">
        <v>405261092</v>
      </c>
      <c r="E191" s="6" t="s">
        <v>145</v>
      </c>
      <c r="F191" s="10" t="s">
        <v>75</v>
      </c>
      <c r="G191" s="10">
        <v>1000000030</v>
      </c>
      <c r="H191" s="10" t="s">
        <v>49</v>
      </c>
      <c r="I191" s="10">
        <f>IF(SalesData[[#This Row],[Status of Call]]="completed",1,0)</f>
        <v>0</v>
      </c>
      <c r="J191" s="10">
        <f>1</f>
        <v>1</v>
      </c>
      <c r="K191" s="10">
        <f>SalesData[[#This Row],[Completed calls]]/SalesData[[#This Row],[Total calls]]</f>
        <v>0</v>
      </c>
      <c r="L191" s="4">
        <f t="shared" si="9"/>
        <v>1</v>
      </c>
      <c r="M191" s="4">
        <f t="shared" si="8"/>
        <v>0</v>
      </c>
      <c r="N191" s="4">
        <f t="shared" si="10"/>
        <v>0</v>
      </c>
      <c r="O191" s="7">
        <v>46236</v>
      </c>
      <c r="P191" s="9">
        <v>46236.694780092592</v>
      </c>
      <c r="Q191" s="9">
        <v>46236.695092592592</v>
      </c>
      <c r="R191" s="10">
        <v>28</v>
      </c>
      <c r="S191" s="4">
        <f t="shared" si="11"/>
        <v>1</v>
      </c>
      <c r="T191" s="10"/>
      <c r="U191" s="10"/>
      <c r="V191" s="10" t="s">
        <v>26</v>
      </c>
      <c r="W191" s="6"/>
    </row>
    <row r="192" spans="1:23" x14ac:dyDescent="0.3">
      <c r="A192" s="3" t="s">
        <v>309</v>
      </c>
      <c r="B192" s="10" t="s">
        <v>21</v>
      </c>
      <c r="C192" s="5">
        <v>8099389567</v>
      </c>
      <c r="D192" s="5">
        <v>874667560</v>
      </c>
      <c r="E192" s="6" t="s">
        <v>51</v>
      </c>
      <c r="F192" s="10" t="s">
        <v>107</v>
      </c>
      <c r="G192" s="10">
        <v>1000000035</v>
      </c>
      <c r="H192" s="10" t="s">
        <v>49</v>
      </c>
      <c r="I192" s="10">
        <f>IF(SalesData[[#This Row],[Status of Call]]="completed",1,0)</f>
        <v>0</v>
      </c>
      <c r="J192" s="10">
        <f>1</f>
        <v>1</v>
      </c>
      <c r="K192" s="10">
        <f>SalesData[[#This Row],[Completed calls]]/SalesData[[#This Row],[Total calls]]</f>
        <v>0</v>
      </c>
      <c r="L192" s="4">
        <f t="shared" si="9"/>
        <v>1</v>
      </c>
      <c r="M192" s="4">
        <f t="shared" si="8"/>
        <v>0</v>
      </c>
      <c r="N192" s="4">
        <f t="shared" si="10"/>
        <v>0</v>
      </c>
      <c r="O192" s="7">
        <v>46236</v>
      </c>
      <c r="P192" s="9">
        <v>46236.88721064815</v>
      </c>
      <c r="Q192" s="9">
        <v>46236.887511574074</v>
      </c>
      <c r="R192" s="10">
        <v>32</v>
      </c>
      <c r="S192" s="4">
        <f t="shared" si="11"/>
        <v>1</v>
      </c>
      <c r="T192" s="10"/>
      <c r="U192" s="10" t="s">
        <v>26</v>
      </c>
      <c r="V192" s="10" t="s">
        <v>26</v>
      </c>
      <c r="W192" s="6"/>
    </row>
    <row r="193" spans="1:23" x14ac:dyDescent="0.3">
      <c r="A193" s="3" t="s">
        <v>310</v>
      </c>
      <c r="B193" s="10" t="s">
        <v>21</v>
      </c>
      <c r="C193" s="5">
        <v>8099389567</v>
      </c>
      <c r="D193" s="5">
        <v>847448970</v>
      </c>
      <c r="E193" s="6" t="s">
        <v>40</v>
      </c>
      <c r="F193" s="10" t="s">
        <v>48</v>
      </c>
      <c r="G193" s="10">
        <v>1000000008</v>
      </c>
      <c r="H193" s="10" t="s">
        <v>32</v>
      </c>
      <c r="I193" s="10">
        <f>IF(SalesData[[#This Row],[Status of Call]]="completed",1,0)</f>
        <v>1</v>
      </c>
      <c r="J193" s="10">
        <f>1</f>
        <v>1</v>
      </c>
      <c r="K193" s="10">
        <f>SalesData[[#This Row],[Completed calls]]/SalesData[[#This Row],[Total calls]]</f>
        <v>1</v>
      </c>
      <c r="L193" s="4">
        <f t="shared" si="9"/>
        <v>1</v>
      </c>
      <c r="M193" s="4">
        <f t="shared" si="8"/>
        <v>0</v>
      </c>
      <c r="N193" s="4">
        <f t="shared" si="10"/>
        <v>1</v>
      </c>
      <c r="O193" s="7">
        <v>46236</v>
      </c>
      <c r="P193" s="9">
        <v>46236.892141203702</v>
      </c>
      <c r="Q193" s="9">
        <v>46236.901030092595</v>
      </c>
      <c r="R193" s="10">
        <v>769</v>
      </c>
      <c r="S193" s="4">
        <f t="shared" si="11"/>
        <v>0</v>
      </c>
      <c r="T193" s="10">
        <v>4.4000000000000004</v>
      </c>
      <c r="U193" s="10" t="s">
        <v>26</v>
      </c>
      <c r="V193" s="10" t="s">
        <v>26</v>
      </c>
      <c r="W193" s="6"/>
    </row>
    <row r="194" spans="1:23" x14ac:dyDescent="0.3">
      <c r="A194" s="3" t="s">
        <v>311</v>
      </c>
      <c r="B194" s="10" t="s">
        <v>21</v>
      </c>
      <c r="C194" s="5">
        <v>8099389567</v>
      </c>
      <c r="D194" s="5">
        <v>237706242</v>
      </c>
      <c r="E194" s="6" t="s">
        <v>64</v>
      </c>
      <c r="F194" s="10" t="s">
        <v>203</v>
      </c>
      <c r="G194" s="10">
        <v>1000000025</v>
      </c>
      <c r="H194" s="10" t="s">
        <v>24</v>
      </c>
      <c r="I194" s="10">
        <f>IF(SalesData[[#This Row],[Status of Call]]="completed",1,0)</f>
        <v>0</v>
      </c>
      <c r="J194" s="10">
        <f>1</f>
        <v>1</v>
      </c>
      <c r="K194" s="10">
        <f>SalesData[[#This Row],[Completed calls]]/SalesData[[#This Row],[Total calls]]</f>
        <v>0</v>
      </c>
      <c r="L194" s="4">
        <f t="shared" si="9"/>
        <v>1</v>
      </c>
      <c r="M194" s="4">
        <f t="shared" ref="M194:M257" si="12">IF(B194="Outgoing",1,0)</f>
        <v>0</v>
      </c>
      <c r="N194" s="4">
        <f t="shared" si="10"/>
        <v>0</v>
      </c>
      <c r="O194" s="7">
        <v>46236</v>
      </c>
      <c r="P194" s="9">
        <v>46236.901064814818</v>
      </c>
      <c r="Q194" s="9">
        <v>46236.90111111111</v>
      </c>
      <c r="R194" s="10">
        <v>4</v>
      </c>
      <c r="S194" s="4">
        <f t="shared" si="11"/>
        <v>0</v>
      </c>
      <c r="T194" s="10"/>
      <c r="U194" s="10" t="s">
        <v>206</v>
      </c>
      <c r="V194" s="10" t="s">
        <v>26</v>
      </c>
      <c r="W194" s="6"/>
    </row>
    <row r="195" spans="1:23" x14ac:dyDescent="0.3">
      <c r="A195" s="3" t="s">
        <v>312</v>
      </c>
      <c r="B195" s="10" t="s">
        <v>21</v>
      </c>
      <c r="C195" s="5">
        <v>8099389567</v>
      </c>
      <c r="D195" s="5">
        <v>315731849</v>
      </c>
      <c r="E195" s="6" t="s">
        <v>48</v>
      </c>
      <c r="F195" s="10" t="s">
        <v>41</v>
      </c>
      <c r="G195" s="10">
        <v>1000000006</v>
      </c>
      <c r="H195" s="10" t="s">
        <v>49</v>
      </c>
      <c r="I195" s="10">
        <f>IF(SalesData[[#This Row],[Status of Call]]="completed",1,0)</f>
        <v>0</v>
      </c>
      <c r="J195" s="10">
        <f>1</f>
        <v>1</v>
      </c>
      <c r="K195" s="10">
        <f>SalesData[[#This Row],[Completed calls]]/SalesData[[#This Row],[Total calls]]</f>
        <v>0</v>
      </c>
      <c r="L195" s="4">
        <f t="shared" ref="L195:L258" si="13">IF(B195="incoming",1,0)</f>
        <v>1</v>
      </c>
      <c r="M195" s="4">
        <f t="shared" si="12"/>
        <v>0</v>
      </c>
      <c r="N195" s="4">
        <f t="shared" ref="N195:N258" si="14">IF(AND(B195="Incoming",H195="Completed"),1,0)</f>
        <v>0</v>
      </c>
      <c r="O195" s="7">
        <v>46236</v>
      </c>
      <c r="P195" s="9">
        <v>46236.933055555557</v>
      </c>
      <c r="Q195" s="9">
        <v>46236.933692129627</v>
      </c>
      <c r="R195" s="10">
        <v>56</v>
      </c>
      <c r="S195" s="4">
        <f t="shared" ref="S195:S258" si="15">IF(OR(H195="failed",H195="no-answer",H195="missed-call"),1,0)</f>
        <v>1</v>
      </c>
      <c r="T195" s="10"/>
      <c r="U195" s="10" t="s">
        <v>26</v>
      </c>
      <c r="V195" s="10" t="s">
        <v>26</v>
      </c>
      <c r="W195" s="6"/>
    </row>
    <row r="196" spans="1:23" x14ac:dyDescent="0.3">
      <c r="A196" s="3" t="s">
        <v>313</v>
      </c>
      <c r="B196" s="6" t="s">
        <v>21</v>
      </c>
      <c r="C196" s="5">
        <v>8099389567</v>
      </c>
      <c r="D196" s="5">
        <v>350608537</v>
      </c>
      <c r="E196" s="6" t="s">
        <v>44</v>
      </c>
      <c r="F196" s="6" t="s">
        <v>212</v>
      </c>
      <c r="G196" s="6">
        <v>1000000019</v>
      </c>
      <c r="H196" s="6" t="s">
        <v>32</v>
      </c>
      <c r="I196" s="6">
        <f>IF(SalesData[[#This Row],[Status of Call]]="completed",1,0)</f>
        <v>1</v>
      </c>
      <c r="J196" s="6">
        <f>1</f>
        <v>1</v>
      </c>
      <c r="K196" s="6">
        <f>SalesData[[#This Row],[Completed calls]]/SalesData[[#This Row],[Total calls]]</f>
        <v>1</v>
      </c>
      <c r="L196" s="4">
        <f t="shared" si="13"/>
        <v>1</v>
      </c>
      <c r="M196" s="4">
        <f t="shared" si="12"/>
        <v>0</v>
      </c>
      <c r="N196" s="4">
        <f t="shared" si="14"/>
        <v>1</v>
      </c>
      <c r="O196" s="7">
        <v>46237</v>
      </c>
      <c r="P196" s="9">
        <v>46237.433946759258</v>
      </c>
      <c r="Q196" s="9">
        <v>46237.435891203706</v>
      </c>
      <c r="R196" s="6">
        <v>169</v>
      </c>
      <c r="S196" s="4">
        <f t="shared" si="15"/>
        <v>0</v>
      </c>
      <c r="T196" s="6">
        <v>0.8</v>
      </c>
      <c r="U196" s="6" t="s">
        <v>26</v>
      </c>
      <c r="V196" s="6" t="s">
        <v>26</v>
      </c>
      <c r="W196" s="6"/>
    </row>
    <row r="197" spans="1:23" x14ac:dyDescent="0.3">
      <c r="A197" s="3" t="s">
        <v>314</v>
      </c>
      <c r="B197" s="6" t="s">
        <v>21</v>
      </c>
      <c r="C197" s="5">
        <v>8099389567</v>
      </c>
      <c r="D197" s="5">
        <v>705855313</v>
      </c>
      <c r="E197" s="6" t="s">
        <v>63</v>
      </c>
      <c r="F197" s="6" t="s">
        <v>315</v>
      </c>
      <c r="G197" s="6">
        <v>1000000040</v>
      </c>
      <c r="H197" s="6" t="s">
        <v>32</v>
      </c>
      <c r="I197" s="6">
        <f>IF(SalesData[[#This Row],[Status of Call]]="completed",1,0)</f>
        <v>1</v>
      </c>
      <c r="J197" s="6">
        <f>1</f>
        <v>1</v>
      </c>
      <c r="K197" s="6">
        <f>SalesData[[#This Row],[Completed calls]]/SalesData[[#This Row],[Total calls]]</f>
        <v>1</v>
      </c>
      <c r="L197" s="4">
        <f t="shared" si="13"/>
        <v>1</v>
      </c>
      <c r="M197" s="4">
        <f t="shared" si="12"/>
        <v>0</v>
      </c>
      <c r="N197" s="4">
        <f t="shared" si="14"/>
        <v>1</v>
      </c>
      <c r="O197" s="7">
        <v>46237</v>
      </c>
      <c r="P197" s="9">
        <v>46237.45349537037</v>
      </c>
      <c r="Q197" s="9">
        <v>46237.456273148149</v>
      </c>
      <c r="R197" s="6">
        <v>242</v>
      </c>
      <c r="S197" s="4">
        <f t="shared" si="15"/>
        <v>0</v>
      </c>
      <c r="T197" s="6">
        <v>1.6</v>
      </c>
      <c r="U197" s="6" t="s">
        <v>26</v>
      </c>
      <c r="V197" s="6" t="s">
        <v>26</v>
      </c>
      <c r="W197" s="6"/>
    </row>
    <row r="198" spans="1:23" x14ac:dyDescent="0.3">
      <c r="A198" s="3" t="s">
        <v>316</v>
      </c>
      <c r="B198" s="6" t="s">
        <v>21</v>
      </c>
      <c r="C198" s="5">
        <v>8099389567</v>
      </c>
      <c r="D198" s="5">
        <v>864327596</v>
      </c>
      <c r="E198" s="6" t="s">
        <v>63</v>
      </c>
      <c r="F198" s="6" t="s">
        <v>23</v>
      </c>
      <c r="G198" s="6">
        <v>1000000014</v>
      </c>
      <c r="H198" s="6" t="s">
        <v>49</v>
      </c>
      <c r="I198" s="6">
        <f>IF(SalesData[[#This Row],[Status of Call]]="completed",1,0)</f>
        <v>0</v>
      </c>
      <c r="J198" s="6">
        <f>1</f>
        <v>1</v>
      </c>
      <c r="K198" s="6">
        <f>SalesData[[#This Row],[Completed calls]]/SalesData[[#This Row],[Total calls]]</f>
        <v>0</v>
      </c>
      <c r="L198" s="4">
        <f t="shared" si="13"/>
        <v>1</v>
      </c>
      <c r="M198" s="4">
        <f t="shared" si="12"/>
        <v>0</v>
      </c>
      <c r="N198" s="4">
        <f t="shared" si="14"/>
        <v>0</v>
      </c>
      <c r="O198" s="7">
        <v>46237</v>
      </c>
      <c r="P198" s="9">
        <v>46237.49015046296</v>
      </c>
      <c r="Q198" s="9">
        <v>46237.490497685183</v>
      </c>
      <c r="R198" s="6">
        <v>31</v>
      </c>
      <c r="S198" s="4">
        <f t="shared" si="15"/>
        <v>1</v>
      </c>
      <c r="U198" s="6" t="s">
        <v>206</v>
      </c>
      <c r="V198" s="6" t="s">
        <v>26</v>
      </c>
      <c r="W198" s="6"/>
    </row>
    <row r="199" spans="1:23" x14ac:dyDescent="0.3">
      <c r="A199" s="3" t="s">
        <v>317</v>
      </c>
      <c r="B199" s="6" t="s">
        <v>21</v>
      </c>
      <c r="C199" s="5">
        <v>8099389567</v>
      </c>
      <c r="D199" s="5">
        <v>304645515</v>
      </c>
      <c r="E199" s="6" t="s">
        <v>170</v>
      </c>
      <c r="F199" s="6" t="s">
        <v>47</v>
      </c>
      <c r="G199" s="6">
        <v>1000000005</v>
      </c>
      <c r="H199" s="6" t="s">
        <v>49</v>
      </c>
      <c r="I199" s="6">
        <f>IF(SalesData[[#This Row],[Status of Call]]="completed",1,0)</f>
        <v>0</v>
      </c>
      <c r="J199" s="6">
        <f>1</f>
        <v>1</v>
      </c>
      <c r="K199" s="6">
        <f>SalesData[[#This Row],[Completed calls]]/SalesData[[#This Row],[Total calls]]</f>
        <v>0</v>
      </c>
      <c r="L199" s="4">
        <f t="shared" si="13"/>
        <v>1</v>
      </c>
      <c r="M199" s="4">
        <f t="shared" si="12"/>
        <v>0</v>
      </c>
      <c r="N199" s="4">
        <f t="shared" si="14"/>
        <v>0</v>
      </c>
      <c r="O199" s="7">
        <v>46237</v>
      </c>
      <c r="P199" s="9">
        <v>46237.491249999999</v>
      </c>
      <c r="Q199" s="9">
        <v>46237.491701388892</v>
      </c>
      <c r="R199" s="6">
        <v>40</v>
      </c>
      <c r="S199" s="4">
        <f t="shared" si="15"/>
        <v>1</v>
      </c>
      <c r="U199" s="6" t="s">
        <v>26</v>
      </c>
      <c r="V199" s="6" t="s">
        <v>26</v>
      </c>
      <c r="W199" s="6"/>
    </row>
    <row r="200" spans="1:23" x14ac:dyDescent="0.3">
      <c r="A200" s="3" t="s">
        <v>318</v>
      </c>
      <c r="B200" s="6" t="s">
        <v>21</v>
      </c>
      <c r="C200" s="5">
        <v>8099389567</v>
      </c>
      <c r="D200" s="5">
        <v>900605377</v>
      </c>
      <c r="E200" s="6" t="s">
        <v>53</v>
      </c>
      <c r="F200" s="6" t="s">
        <v>203</v>
      </c>
      <c r="G200" s="6">
        <v>1000000025</v>
      </c>
      <c r="H200" s="6" t="s">
        <v>24</v>
      </c>
      <c r="I200" s="6">
        <f>IF(SalesData[[#This Row],[Status of Call]]="completed",1,0)</f>
        <v>0</v>
      </c>
      <c r="J200" s="6">
        <f>1</f>
        <v>1</v>
      </c>
      <c r="K200" s="6">
        <f>SalesData[[#This Row],[Completed calls]]/SalesData[[#This Row],[Total calls]]</f>
        <v>0</v>
      </c>
      <c r="L200" s="4">
        <f t="shared" si="13"/>
        <v>1</v>
      </c>
      <c r="M200" s="4">
        <f t="shared" si="12"/>
        <v>0</v>
      </c>
      <c r="N200" s="4">
        <f t="shared" si="14"/>
        <v>0</v>
      </c>
      <c r="O200" s="7">
        <v>46237</v>
      </c>
      <c r="P200" s="9">
        <v>46237.493923611109</v>
      </c>
      <c r="Q200" s="9">
        <v>46237.494155092594</v>
      </c>
      <c r="R200" s="6">
        <v>20</v>
      </c>
      <c r="S200" s="4">
        <f t="shared" si="15"/>
        <v>0</v>
      </c>
      <c r="U200" s="6" t="s">
        <v>109</v>
      </c>
      <c r="V200" s="6" t="s">
        <v>26</v>
      </c>
      <c r="W200" s="6"/>
    </row>
    <row r="201" spans="1:23" x14ac:dyDescent="0.3">
      <c r="A201" s="3" t="s">
        <v>319</v>
      </c>
      <c r="B201" s="6" t="s">
        <v>21</v>
      </c>
      <c r="C201" s="5">
        <v>8099389567</v>
      </c>
      <c r="D201" s="5">
        <v>964072235</v>
      </c>
      <c r="E201" s="6" t="s">
        <v>137</v>
      </c>
      <c r="F201" s="6" t="s">
        <v>98</v>
      </c>
      <c r="G201" s="6">
        <v>1000000015</v>
      </c>
      <c r="H201" s="6" t="s">
        <v>32</v>
      </c>
      <c r="I201" s="6">
        <f>IF(SalesData[[#This Row],[Status of Call]]="completed",1,0)</f>
        <v>1</v>
      </c>
      <c r="J201" s="6">
        <f>1</f>
        <v>1</v>
      </c>
      <c r="K201" s="6">
        <f>SalesData[[#This Row],[Completed calls]]/SalesData[[#This Row],[Total calls]]</f>
        <v>1</v>
      </c>
      <c r="L201" s="4">
        <f t="shared" si="13"/>
        <v>1</v>
      </c>
      <c r="M201" s="4">
        <f t="shared" si="12"/>
        <v>0</v>
      </c>
      <c r="N201" s="4">
        <f t="shared" si="14"/>
        <v>1</v>
      </c>
      <c r="O201" s="7">
        <v>46237</v>
      </c>
      <c r="P201" s="9">
        <v>46237.508333333331</v>
      </c>
      <c r="Q201" s="9">
        <v>46237.510023148148</v>
      </c>
      <c r="R201" s="6">
        <v>147</v>
      </c>
      <c r="S201" s="4">
        <f t="shared" si="15"/>
        <v>0</v>
      </c>
      <c r="T201" s="6">
        <v>0.8</v>
      </c>
      <c r="U201" s="6" t="s">
        <v>26</v>
      </c>
      <c r="V201" s="6" t="s">
        <v>26</v>
      </c>
      <c r="W201" s="6"/>
    </row>
    <row r="202" spans="1:23" x14ac:dyDescent="0.3">
      <c r="A202" s="3" t="s">
        <v>320</v>
      </c>
      <c r="B202" s="6" t="s">
        <v>321</v>
      </c>
      <c r="C202" s="5">
        <v>8099389567</v>
      </c>
      <c r="D202" s="5">
        <v>857733273</v>
      </c>
      <c r="E202" s="6" t="s">
        <v>121</v>
      </c>
      <c r="F202" s="6" t="s">
        <v>61</v>
      </c>
      <c r="G202" s="6">
        <v>1000000018</v>
      </c>
      <c r="H202" s="6" t="s">
        <v>322</v>
      </c>
      <c r="I202" s="6">
        <f>IF(SalesData[[#This Row],[Status of Call]]="completed",1,0)</f>
        <v>0</v>
      </c>
      <c r="J202" s="6">
        <f>1</f>
        <v>1</v>
      </c>
      <c r="K202" s="6">
        <f>SalesData[[#This Row],[Completed calls]]/SalesData[[#This Row],[Total calls]]</f>
        <v>0</v>
      </c>
      <c r="L202" s="4">
        <f t="shared" si="13"/>
        <v>0</v>
      </c>
      <c r="M202" s="4">
        <f t="shared" si="12"/>
        <v>1</v>
      </c>
      <c r="N202" s="4">
        <f t="shared" si="14"/>
        <v>0</v>
      </c>
      <c r="O202" s="7">
        <v>46237</v>
      </c>
      <c r="P202" s="9">
        <v>46237.514224537037</v>
      </c>
      <c r="Q202" s="9">
        <v>46237.514421296299</v>
      </c>
      <c r="R202" s="6">
        <v>7</v>
      </c>
      <c r="S202" s="4">
        <f t="shared" si="15"/>
        <v>1</v>
      </c>
      <c r="U202" s="6" t="s">
        <v>26</v>
      </c>
      <c r="V202" s="6" t="s">
        <v>25</v>
      </c>
      <c r="W202" s="6"/>
    </row>
    <row r="203" spans="1:23" x14ac:dyDescent="0.3">
      <c r="A203" s="3" t="s">
        <v>323</v>
      </c>
      <c r="B203" s="6" t="s">
        <v>321</v>
      </c>
      <c r="C203" s="5">
        <v>8099389567</v>
      </c>
      <c r="D203" s="5">
        <v>124531261</v>
      </c>
      <c r="E203" s="6" t="s">
        <v>106</v>
      </c>
      <c r="F203" s="6" t="s">
        <v>47</v>
      </c>
      <c r="G203" s="6">
        <v>1000000005</v>
      </c>
      <c r="H203" s="6" t="s">
        <v>322</v>
      </c>
      <c r="I203" s="6">
        <f>IF(SalesData[[#This Row],[Status of Call]]="completed",1,0)</f>
        <v>0</v>
      </c>
      <c r="J203" s="6">
        <f>1</f>
        <v>1</v>
      </c>
      <c r="K203" s="6">
        <f>SalesData[[#This Row],[Completed calls]]/SalesData[[#This Row],[Total calls]]</f>
        <v>0</v>
      </c>
      <c r="L203" s="4">
        <f t="shared" si="13"/>
        <v>0</v>
      </c>
      <c r="M203" s="4">
        <f t="shared" si="12"/>
        <v>1</v>
      </c>
      <c r="N203" s="4">
        <f t="shared" si="14"/>
        <v>0</v>
      </c>
      <c r="O203" s="7">
        <v>46237</v>
      </c>
      <c r="P203" s="9">
        <v>46237.514548611114</v>
      </c>
      <c r="Q203" s="9">
        <v>46237.514791666668</v>
      </c>
      <c r="R203" s="6">
        <v>21</v>
      </c>
      <c r="S203" s="4">
        <f t="shared" si="15"/>
        <v>1</v>
      </c>
      <c r="T203" s="6">
        <v>0.4</v>
      </c>
      <c r="U203" s="6" t="s">
        <v>26</v>
      </c>
      <c r="V203" s="6" t="s">
        <v>142</v>
      </c>
      <c r="W203" s="6"/>
    </row>
    <row r="204" spans="1:23" x14ac:dyDescent="0.3">
      <c r="A204" s="3" t="s">
        <v>324</v>
      </c>
      <c r="B204" s="6" t="s">
        <v>321</v>
      </c>
      <c r="C204" s="5">
        <v>8099389567</v>
      </c>
      <c r="D204" s="5">
        <v>937476439</v>
      </c>
      <c r="E204" s="6" t="s">
        <v>30</v>
      </c>
      <c r="F204" s="6" t="s">
        <v>23</v>
      </c>
      <c r="G204" s="6">
        <v>1000000014</v>
      </c>
      <c r="H204" s="6" t="s">
        <v>32</v>
      </c>
      <c r="I204" s="6">
        <f>IF(SalesData[[#This Row],[Status of Call]]="completed",1,0)</f>
        <v>1</v>
      </c>
      <c r="J204" s="6">
        <f>1</f>
        <v>1</v>
      </c>
      <c r="K204" s="6">
        <f>SalesData[[#This Row],[Completed calls]]/SalesData[[#This Row],[Total calls]]</f>
        <v>1</v>
      </c>
      <c r="L204" s="4">
        <f t="shared" si="13"/>
        <v>0</v>
      </c>
      <c r="M204" s="4">
        <f t="shared" si="12"/>
        <v>1</v>
      </c>
      <c r="N204" s="4">
        <f t="shared" si="14"/>
        <v>0</v>
      </c>
      <c r="O204" s="7">
        <v>46237</v>
      </c>
      <c r="P204" s="9">
        <v>46237.514999999999</v>
      </c>
      <c r="Q204" s="9">
        <v>46237.515520833331</v>
      </c>
      <c r="R204" s="6">
        <v>45</v>
      </c>
      <c r="S204" s="4">
        <f t="shared" si="15"/>
        <v>0</v>
      </c>
      <c r="T204" s="6">
        <v>1.1499999999999999</v>
      </c>
      <c r="U204" s="6" t="s">
        <v>26</v>
      </c>
      <c r="V204" s="6" t="s">
        <v>109</v>
      </c>
      <c r="W204" s="6"/>
    </row>
    <row r="205" spans="1:23" x14ac:dyDescent="0.3">
      <c r="A205" s="3" t="s">
        <v>325</v>
      </c>
      <c r="B205" s="6" t="s">
        <v>321</v>
      </c>
      <c r="C205" s="5">
        <v>8099389567</v>
      </c>
      <c r="D205" s="5">
        <v>562206089</v>
      </c>
      <c r="E205" s="6" t="s">
        <v>106</v>
      </c>
      <c r="F205" s="6" t="s">
        <v>114</v>
      </c>
      <c r="G205" s="6">
        <v>1000000037</v>
      </c>
      <c r="H205" s="6" t="s">
        <v>32</v>
      </c>
      <c r="I205" s="6">
        <f>IF(SalesData[[#This Row],[Status of Call]]="completed",1,0)</f>
        <v>1</v>
      </c>
      <c r="J205" s="6">
        <f>1</f>
        <v>1</v>
      </c>
      <c r="K205" s="6">
        <f>SalesData[[#This Row],[Completed calls]]/SalesData[[#This Row],[Total calls]]</f>
        <v>1</v>
      </c>
      <c r="L205" s="4">
        <f t="shared" si="13"/>
        <v>0</v>
      </c>
      <c r="M205" s="4">
        <f t="shared" si="12"/>
        <v>1</v>
      </c>
      <c r="N205" s="4">
        <f t="shared" si="14"/>
        <v>0</v>
      </c>
      <c r="O205" s="7">
        <v>46237</v>
      </c>
      <c r="P205" s="9">
        <v>46237.515717592592</v>
      </c>
      <c r="Q205" s="9">
        <v>46237.516122685185</v>
      </c>
      <c r="R205" s="6">
        <v>36</v>
      </c>
      <c r="S205" s="4">
        <f t="shared" si="15"/>
        <v>0</v>
      </c>
      <c r="T205" s="6">
        <v>1.1499999999999999</v>
      </c>
      <c r="U205" s="6" t="s">
        <v>26</v>
      </c>
      <c r="V205" s="6" t="s">
        <v>206</v>
      </c>
      <c r="W205" s="6"/>
    </row>
    <row r="206" spans="1:23" x14ac:dyDescent="0.3">
      <c r="A206" s="3" t="s">
        <v>326</v>
      </c>
      <c r="B206" s="6" t="s">
        <v>321</v>
      </c>
      <c r="C206" s="5">
        <v>8099389567</v>
      </c>
      <c r="D206" s="5">
        <v>435843588</v>
      </c>
      <c r="E206" s="6" t="s">
        <v>70</v>
      </c>
      <c r="F206" s="6" t="s">
        <v>327</v>
      </c>
      <c r="G206" s="6">
        <v>1000000021</v>
      </c>
      <c r="H206" s="6" t="s">
        <v>322</v>
      </c>
      <c r="I206" s="6">
        <f>IF(SalesData[[#This Row],[Status of Call]]="completed",1,0)</f>
        <v>0</v>
      </c>
      <c r="J206" s="6">
        <f>1</f>
        <v>1</v>
      </c>
      <c r="K206" s="6">
        <f>SalesData[[#This Row],[Completed calls]]/SalesData[[#This Row],[Total calls]]</f>
        <v>0</v>
      </c>
      <c r="L206" s="4">
        <f t="shared" si="13"/>
        <v>0</v>
      </c>
      <c r="M206" s="4">
        <f t="shared" si="12"/>
        <v>1</v>
      </c>
      <c r="N206" s="4">
        <f t="shared" si="14"/>
        <v>0</v>
      </c>
      <c r="O206" s="7">
        <v>46237</v>
      </c>
      <c r="P206" s="9">
        <v>46237.516238425924</v>
      </c>
      <c r="Q206" s="9">
        <v>46237.516458333332</v>
      </c>
      <c r="R206" s="6">
        <v>18</v>
      </c>
      <c r="S206" s="4">
        <f t="shared" si="15"/>
        <v>1</v>
      </c>
      <c r="T206" s="6">
        <v>0.4</v>
      </c>
      <c r="U206" s="6" t="s">
        <v>26</v>
      </c>
      <c r="V206" s="6" t="s">
        <v>26</v>
      </c>
      <c r="W206" s="6"/>
    </row>
    <row r="207" spans="1:23" x14ac:dyDescent="0.3">
      <c r="A207" s="3" t="s">
        <v>328</v>
      </c>
      <c r="B207" s="6" t="s">
        <v>321</v>
      </c>
      <c r="C207" s="5">
        <v>8099389567</v>
      </c>
      <c r="D207" s="5">
        <v>45017450</v>
      </c>
      <c r="E207" s="6" t="s">
        <v>145</v>
      </c>
      <c r="F207" s="6" t="s">
        <v>117</v>
      </c>
      <c r="G207" s="6">
        <v>1000000032</v>
      </c>
      <c r="H207" s="6" t="s">
        <v>32</v>
      </c>
      <c r="I207" s="6">
        <f>IF(SalesData[[#This Row],[Status of Call]]="completed",1,0)</f>
        <v>1</v>
      </c>
      <c r="J207" s="6">
        <f>1</f>
        <v>1</v>
      </c>
      <c r="K207" s="6">
        <f>SalesData[[#This Row],[Completed calls]]/SalesData[[#This Row],[Total calls]]</f>
        <v>1</v>
      </c>
      <c r="L207" s="4">
        <f t="shared" si="13"/>
        <v>0</v>
      </c>
      <c r="M207" s="4">
        <f t="shared" si="12"/>
        <v>1</v>
      </c>
      <c r="N207" s="4">
        <f t="shared" si="14"/>
        <v>0</v>
      </c>
      <c r="O207" s="7">
        <v>46237</v>
      </c>
      <c r="P207" s="9">
        <v>46237.51666666667</v>
      </c>
      <c r="Q207" s="9">
        <v>46237.517256944448</v>
      </c>
      <c r="R207" s="6">
        <v>51</v>
      </c>
      <c r="S207" s="4">
        <f t="shared" si="15"/>
        <v>0</v>
      </c>
      <c r="T207" s="6">
        <v>1.1499999999999999</v>
      </c>
      <c r="U207" s="6" t="s">
        <v>26</v>
      </c>
      <c r="V207" s="6" t="s">
        <v>206</v>
      </c>
      <c r="W207" s="6"/>
    </row>
    <row r="208" spans="1:23" x14ac:dyDescent="0.3">
      <c r="A208" s="3" t="s">
        <v>329</v>
      </c>
      <c r="B208" s="6" t="s">
        <v>321</v>
      </c>
      <c r="C208" s="5">
        <v>8099389567</v>
      </c>
      <c r="D208" s="5">
        <v>412968911</v>
      </c>
      <c r="E208" s="6" t="s">
        <v>127</v>
      </c>
      <c r="F208" s="6" t="s">
        <v>132</v>
      </c>
      <c r="G208" s="6">
        <v>1000000026</v>
      </c>
      <c r="H208" s="6" t="s">
        <v>32</v>
      </c>
      <c r="I208" s="6">
        <f>IF(SalesData[[#This Row],[Status of Call]]="completed",1,0)</f>
        <v>1</v>
      </c>
      <c r="J208" s="6">
        <f>1</f>
        <v>1</v>
      </c>
      <c r="K208" s="6">
        <f>SalesData[[#This Row],[Completed calls]]/SalesData[[#This Row],[Total calls]]</f>
        <v>1</v>
      </c>
      <c r="L208" s="4">
        <f t="shared" si="13"/>
        <v>0</v>
      </c>
      <c r="M208" s="4">
        <f t="shared" si="12"/>
        <v>1</v>
      </c>
      <c r="N208" s="4">
        <f t="shared" si="14"/>
        <v>0</v>
      </c>
      <c r="O208" s="7">
        <v>46237</v>
      </c>
      <c r="P208" s="9">
        <v>46237.51761574074</v>
      </c>
      <c r="Q208" s="9">
        <v>46237.518287037034</v>
      </c>
      <c r="R208" s="6">
        <v>51</v>
      </c>
      <c r="S208" s="4">
        <f t="shared" si="15"/>
        <v>0</v>
      </c>
      <c r="U208" s="6" t="s">
        <v>26</v>
      </c>
      <c r="V208" s="6" t="s">
        <v>142</v>
      </c>
      <c r="W208" s="6"/>
    </row>
    <row r="209" spans="1:23" x14ac:dyDescent="0.3">
      <c r="A209" s="3" t="s">
        <v>330</v>
      </c>
      <c r="B209" s="6" t="s">
        <v>321</v>
      </c>
      <c r="C209" s="5">
        <v>8099389567</v>
      </c>
      <c r="D209" s="5">
        <v>481336881</v>
      </c>
      <c r="E209" s="6" t="s">
        <v>84</v>
      </c>
      <c r="F209" s="6" t="s">
        <v>75</v>
      </c>
      <c r="G209" s="6">
        <v>1000000030</v>
      </c>
      <c r="H209" s="6" t="s">
        <v>322</v>
      </c>
      <c r="I209" s="6">
        <f>IF(SalesData[[#This Row],[Status of Call]]="completed",1,0)</f>
        <v>0</v>
      </c>
      <c r="J209" s="6">
        <f>1</f>
        <v>1</v>
      </c>
      <c r="K209" s="6">
        <f>SalesData[[#This Row],[Completed calls]]/SalesData[[#This Row],[Total calls]]</f>
        <v>0</v>
      </c>
      <c r="L209" s="4">
        <f t="shared" si="13"/>
        <v>0</v>
      </c>
      <c r="M209" s="4">
        <f t="shared" si="12"/>
        <v>1</v>
      </c>
      <c r="N209" s="4">
        <f t="shared" si="14"/>
        <v>0</v>
      </c>
      <c r="O209" s="7">
        <v>46237</v>
      </c>
      <c r="P209" s="9">
        <v>46237.518541666665</v>
      </c>
      <c r="Q209" s="9">
        <v>46237.518761574072</v>
      </c>
      <c r="R209" s="6">
        <v>19</v>
      </c>
      <c r="S209" s="4">
        <f t="shared" si="15"/>
        <v>1</v>
      </c>
      <c r="T209" s="6">
        <v>0.4</v>
      </c>
      <c r="U209" s="6" t="s">
        <v>26</v>
      </c>
      <c r="V209" s="6" t="s">
        <v>206</v>
      </c>
      <c r="W209" s="6"/>
    </row>
    <row r="210" spans="1:23" x14ac:dyDescent="0.3">
      <c r="A210" s="3" t="s">
        <v>331</v>
      </c>
      <c r="B210" s="6" t="s">
        <v>321</v>
      </c>
      <c r="C210" s="5">
        <v>8099389567</v>
      </c>
      <c r="D210" s="5">
        <v>989866400</v>
      </c>
      <c r="E210" s="6" t="s">
        <v>77</v>
      </c>
      <c r="F210" s="6" t="s">
        <v>44</v>
      </c>
      <c r="G210" s="6">
        <v>1000000010</v>
      </c>
      <c r="H210" s="6" t="s">
        <v>332</v>
      </c>
      <c r="I210" s="6">
        <f>IF(SalesData[[#This Row],[Status of Call]]="completed",1,0)</f>
        <v>0</v>
      </c>
      <c r="J210" s="6">
        <f>1</f>
        <v>1</v>
      </c>
      <c r="K210" s="6">
        <f>SalesData[[#This Row],[Completed calls]]/SalesData[[#This Row],[Total calls]]</f>
        <v>0</v>
      </c>
      <c r="L210" s="4">
        <f t="shared" si="13"/>
        <v>0</v>
      </c>
      <c r="M210" s="4">
        <f t="shared" si="12"/>
        <v>1</v>
      </c>
      <c r="N210" s="4">
        <f t="shared" si="14"/>
        <v>0</v>
      </c>
      <c r="O210" s="7">
        <v>46237</v>
      </c>
      <c r="P210" s="9">
        <v>46237.518912037034</v>
      </c>
      <c r="Q210" s="9">
        <v>46237.51939814815</v>
      </c>
      <c r="R210" s="6">
        <v>42</v>
      </c>
      <c r="S210" s="4">
        <f t="shared" si="15"/>
        <v>1</v>
      </c>
      <c r="T210" s="6">
        <v>0.4</v>
      </c>
      <c r="U210" s="6" t="s">
        <v>26</v>
      </c>
      <c r="V210" s="6" t="s">
        <v>26</v>
      </c>
      <c r="W210" s="6"/>
    </row>
    <row r="211" spans="1:23" x14ac:dyDescent="0.3">
      <c r="A211" s="3" t="s">
        <v>333</v>
      </c>
      <c r="B211" s="6" t="s">
        <v>321</v>
      </c>
      <c r="C211" s="5">
        <v>8099389567</v>
      </c>
      <c r="D211" s="5">
        <v>182771469</v>
      </c>
      <c r="E211" s="6" t="s">
        <v>121</v>
      </c>
      <c r="F211" s="6" t="s">
        <v>35</v>
      </c>
      <c r="G211" s="6">
        <v>1000000017</v>
      </c>
      <c r="H211" s="6" t="s">
        <v>322</v>
      </c>
      <c r="I211" s="6">
        <f>IF(SalesData[[#This Row],[Status of Call]]="completed",1,0)</f>
        <v>0</v>
      </c>
      <c r="J211" s="6">
        <f>1</f>
        <v>1</v>
      </c>
      <c r="K211" s="6">
        <f>SalesData[[#This Row],[Completed calls]]/SalesData[[#This Row],[Total calls]]</f>
        <v>0</v>
      </c>
      <c r="L211" s="4">
        <f t="shared" si="13"/>
        <v>0</v>
      </c>
      <c r="M211" s="4">
        <f t="shared" si="12"/>
        <v>1</v>
      </c>
      <c r="N211" s="4">
        <f t="shared" si="14"/>
        <v>0</v>
      </c>
      <c r="O211" s="7">
        <v>46237</v>
      </c>
      <c r="P211" s="9">
        <v>46237.519548611112</v>
      </c>
      <c r="Q211" s="9">
        <v>46237.519745370373</v>
      </c>
      <c r="R211" s="6">
        <v>11</v>
      </c>
      <c r="S211" s="4">
        <f t="shared" si="15"/>
        <v>1</v>
      </c>
      <c r="U211" s="6" t="s">
        <v>26</v>
      </c>
      <c r="V211" s="6" t="s">
        <v>142</v>
      </c>
      <c r="W211" s="6"/>
    </row>
    <row r="212" spans="1:23" x14ac:dyDescent="0.3">
      <c r="A212" s="3" t="s">
        <v>334</v>
      </c>
      <c r="B212" s="6" t="s">
        <v>321</v>
      </c>
      <c r="C212" s="5">
        <v>8099389567</v>
      </c>
      <c r="D212" s="5">
        <v>255902264</v>
      </c>
      <c r="E212" s="6" t="s">
        <v>64</v>
      </c>
      <c r="F212" s="6" t="s">
        <v>152</v>
      </c>
      <c r="G212" s="6">
        <v>1000000036</v>
      </c>
      <c r="H212" s="6" t="s">
        <v>332</v>
      </c>
      <c r="I212" s="6">
        <f>IF(SalesData[[#This Row],[Status of Call]]="completed",1,0)</f>
        <v>0</v>
      </c>
      <c r="J212" s="6">
        <f>1</f>
        <v>1</v>
      </c>
      <c r="K212" s="6">
        <f>SalesData[[#This Row],[Completed calls]]/SalesData[[#This Row],[Total calls]]</f>
        <v>0</v>
      </c>
      <c r="L212" s="4">
        <f t="shared" si="13"/>
        <v>0</v>
      </c>
      <c r="M212" s="4">
        <f t="shared" si="12"/>
        <v>1</v>
      </c>
      <c r="N212" s="4">
        <f t="shared" si="14"/>
        <v>0</v>
      </c>
      <c r="O212" s="7">
        <v>46237</v>
      </c>
      <c r="P212" s="9">
        <v>46237.520289351851</v>
      </c>
      <c r="Q212" s="9">
        <v>46237.52076388889</v>
      </c>
      <c r="R212" s="6">
        <v>41</v>
      </c>
      <c r="S212" s="4">
        <f t="shared" si="15"/>
        <v>1</v>
      </c>
      <c r="T212" s="6">
        <v>0.4</v>
      </c>
      <c r="U212" s="6" t="s">
        <v>26</v>
      </c>
      <c r="V212" s="6" t="s">
        <v>335</v>
      </c>
      <c r="W212" s="6"/>
    </row>
    <row r="213" spans="1:23" x14ac:dyDescent="0.3">
      <c r="A213" s="3" t="s">
        <v>336</v>
      </c>
      <c r="B213" s="6" t="s">
        <v>321</v>
      </c>
      <c r="C213" s="5">
        <v>8099389567</v>
      </c>
      <c r="D213" s="5">
        <v>944859287</v>
      </c>
      <c r="E213" s="6" t="s">
        <v>121</v>
      </c>
      <c r="F213" s="6" t="s">
        <v>107</v>
      </c>
      <c r="G213" s="6">
        <v>1000000035</v>
      </c>
      <c r="H213" s="6" t="s">
        <v>32</v>
      </c>
      <c r="I213" s="6">
        <f>IF(SalesData[[#This Row],[Status of Call]]="completed",1,0)</f>
        <v>1</v>
      </c>
      <c r="J213" s="6">
        <f>1</f>
        <v>1</v>
      </c>
      <c r="K213" s="6">
        <f>SalesData[[#This Row],[Completed calls]]/SalesData[[#This Row],[Total calls]]</f>
        <v>1</v>
      </c>
      <c r="L213" s="4">
        <f t="shared" si="13"/>
        <v>0</v>
      </c>
      <c r="M213" s="4">
        <f t="shared" si="12"/>
        <v>1</v>
      </c>
      <c r="N213" s="4">
        <f t="shared" si="14"/>
        <v>0</v>
      </c>
      <c r="O213" s="7">
        <v>46237</v>
      </c>
      <c r="P213" s="9">
        <v>46237.520937499998</v>
      </c>
      <c r="Q213" s="9">
        <v>46237.521979166668</v>
      </c>
      <c r="R213" s="6">
        <v>90</v>
      </c>
      <c r="S213" s="4">
        <f t="shared" si="15"/>
        <v>0</v>
      </c>
      <c r="T213" s="6">
        <v>2.2999999999999998</v>
      </c>
      <c r="U213" s="6" t="s">
        <v>26</v>
      </c>
      <c r="V213" s="6" t="s">
        <v>142</v>
      </c>
      <c r="W213" s="6"/>
    </row>
    <row r="214" spans="1:23" x14ac:dyDescent="0.3">
      <c r="A214" s="3" t="s">
        <v>337</v>
      </c>
      <c r="B214" s="6" t="s">
        <v>321</v>
      </c>
      <c r="C214" s="5">
        <v>8099389567</v>
      </c>
      <c r="D214" s="5">
        <v>89737155</v>
      </c>
      <c r="E214" s="6" t="s">
        <v>51</v>
      </c>
      <c r="F214" s="6" t="s">
        <v>150</v>
      </c>
      <c r="G214" s="6">
        <v>1000000038</v>
      </c>
      <c r="H214" s="6" t="s">
        <v>332</v>
      </c>
      <c r="I214" s="6">
        <f>IF(SalesData[[#This Row],[Status of Call]]="completed",1,0)</f>
        <v>0</v>
      </c>
      <c r="J214" s="6">
        <f>1</f>
        <v>1</v>
      </c>
      <c r="K214" s="6">
        <f>SalesData[[#This Row],[Completed calls]]/SalesData[[#This Row],[Total calls]]</f>
        <v>0</v>
      </c>
      <c r="L214" s="4">
        <f t="shared" si="13"/>
        <v>0</v>
      </c>
      <c r="M214" s="4">
        <f t="shared" si="12"/>
        <v>1</v>
      </c>
      <c r="N214" s="4">
        <f t="shared" si="14"/>
        <v>0</v>
      </c>
      <c r="O214" s="7">
        <v>46237</v>
      </c>
      <c r="P214" s="9">
        <v>46237.522175925929</v>
      </c>
      <c r="Q214" s="9">
        <v>46237.522743055553</v>
      </c>
      <c r="R214" s="6">
        <v>48</v>
      </c>
      <c r="S214" s="4">
        <f t="shared" si="15"/>
        <v>1</v>
      </c>
      <c r="T214" s="6">
        <v>0.4</v>
      </c>
      <c r="U214" s="6" t="s">
        <v>26</v>
      </c>
      <c r="V214" s="6" t="s">
        <v>335</v>
      </c>
      <c r="W214" s="6"/>
    </row>
    <row r="215" spans="1:23" x14ac:dyDescent="0.3">
      <c r="A215" s="3" t="s">
        <v>338</v>
      </c>
      <c r="B215" s="6" t="s">
        <v>321</v>
      </c>
      <c r="C215" s="5">
        <v>8099389567</v>
      </c>
      <c r="D215" s="5">
        <v>865484941</v>
      </c>
      <c r="E215" s="6" t="s">
        <v>23</v>
      </c>
      <c r="F215" s="6" t="s">
        <v>150</v>
      </c>
      <c r="G215" s="6">
        <v>1000000038</v>
      </c>
      <c r="H215" s="6" t="s">
        <v>322</v>
      </c>
      <c r="I215" s="6">
        <f>IF(SalesData[[#This Row],[Status of Call]]="completed",1,0)</f>
        <v>0</v>
      </c>
      <c r="J215" s="6">
        <f>1</f>
        <v>1</v>
      </c>
      <c r="K215" s="6">
        <f>SalesData[[#This Row],[Completed calls]]/SalesData[[#This Row],[Total calls]]</f>
        <v>0</v>
      </c>
      <c r="L215" s="4">
        <f t="shared" si="13"/>
        <v>0</v>
      </c>
      <c r="M215" s="4">
        <f t="shared" si="12"/>
        <v>1</v>
      </c>
      <c r="N215" s="4">
        <f t="shared" si="14"/>
        <v>0</v>
      </c>
      <c r="O215" s="7">
        <v>46237</v>
      </c>
      <c r="P215" s="9">
        <v>46237.541261574072</v>
      </c>
      <c r="Q215" s="9">
        <v>46237.541562500002</v>
      </c>
      <c r="R215" s="6">
        <v>27</v>
      </c>
      <c r="S215" s="4">
        <f t="shared" si="15"/>
        <v>1</v>
      </c>
      <c r="T215" s="6">
        <v>0.4</v>
      </c>
      <c r="U215" s="6" t="s">
        <v>26</v>
      </c>
      <c r="V215" s="6" t="s">
        <v>335</v>
      </c>
      <c r="W215" s="6"/>
    </row>
    <row r="216" spans="1:23" x14ac:dyDescent="0.3">
      <c r="A216" s="3" t="s">
        <v>339</v>
      </c>
      <c r="B216" s="6" t="s">
        <v>321</v>
      </c>
      <c r="C216" s="5">
        <v>8099389567</v>
      </c>
      <c r="D216" s="5">
        <v>373966562</v>
      </c>
      <c r="E216" s="6" t="s">
        <v>187</v>
      </c>
      <c r="F216" s="6" t="s">
        <v>132</v>
      </c>
      <c r="G216" s="6">
        <v>1000000026</v>
      </c>
      <c r="H216" s="6" t="s">
        <v>32</v>
      </c>
      <c r="I216" s="6">
        <f>IF(SalesData[[#This Row],[Status of Call]]="completed",1,0)</f>
        <v>1</v>
      </c>
      <c r="J216" s="6">
        <f>1</f>
        <v>1</v>
      </c>
      <c r="K216" s="6">
        <f>SalesData[[#This Row],[Completed calls]]/SalesData[[#This Row],[Total calls]]</f>
        <v>1</v>
      </c>
      <c r="L216" s="4">
        <f t="shared" si="13"/>
        <v>0</v>
      </c>
      <c r="M216" s="4">
        <f t="shared" si="12"/>
        <v>1</v>
      </c>
      <c r="N216" s="4">
        <f t="shared" si="14"/>
        <v>0</v>
      </c>
      <c r="O216" s="7">
        <v>46237</v>
      </c>
      <c r="P216" s="9">
        <v>46237.541655092595</v>
      </c>
      <c r="Q216" s="9">
        <v>46237.542754629627</v>
      </c>
      <c r="R216" s="6">
        <v>95</v>
      </c>
      <c r="S216" s="4">
        <f t="shared" si="15"/>
        <v>0</v>
      </c>
      <c r="T216" s="6">
        <v>2.2999999999999998</v>
      </c>
      <c r="U216" s="6" t="s">
        <v>26</v>
      </c>
      <c r="V216" s="6" t="s">
        <v>206</v>
      </c>
      <c r="W216" s="6"/>
    </row>
    <row r="217" spans="1:23" x14ac:dyDescent="0.3">
      <c r="A217" s="3" t="s">
        <v>340</v>
      </c>
      <c r="B217" s="10" t="s">
        <v>321</v>
      </c>
      <c r="C217" s="5">
        <v>8099389567</v>
      </c>
      <c r="D217" s="5">
        <v>807444497</v>
      </c>
      <c r="E217" s="6" t="s">
        <v>66</v>
      </c>
      <c r="F217" s="10" t="s">
        <v>48</v>
      </c>
      <c r="G217" s="10">
        <v>1000000008</v>
      </c>
      <c r="H217" s="10" t="s">
        <v>341</v>
      </c>
      <c r="I217" s="10">
        <f>IF(SalesData[[#This Row],[Status of Call]]="completed",1,0)</f>
        <v>0</v>
      </c>
      <c r="J217" s="10">
        <f>1</f>
        <v>1</v>
      </c>
      <c r="K217" s="10">
        <f>SalesData[[#This Row],[Completed calls]]/SalesData[[#This Row],[Total calls]]</f>
        <v>0</v>
      </c>
      <c r="L217" s="4">
        <f t="shared" si="13"/>
        <v>0</v>
      </c>
      <c r="M217" s="4">
        <f t="shared" si="12"/>
        <v>1</v>
      </c>
      <c r="N217" s="4">
        <f t="shared" si="14"/>
        <v>0</v>
      </c>
      <c r="O217" s="7">
        <v>46236</v>
      </c>
      <c r="P217" s="9">
        <v>46236.354039351849</v>
      </c>
      <c r="Q217" s="9">
        <v>46236.354363425926</v>
      </c>
      <c r="R217" s="10">
        <v>28</v>
      </c>
      <c r="S217" s="4">
        <f t="shared" si="15"/>
        <v>0</v>
      </c>
      <c r="T217" s="10"/>
      <c r="U217" s="10" t="s">
        <v>26</v>
      </c>
      <c r="V217" s="10" t="s">
        <v>26</v>
      </c>
      <c r="W217" s="6"/>
    </row>
    <row r="218" spans="1:23" x14ac:dyDescent="0.3">
      <c r="A218" s="3" t="s">
        <v>342</v>
      </c>
      <c r="B218" s="6" t="s">
        <v>321</v>
      </c>
      <c r="C218" s="5">
        <v>8099389567</v>
      </c>
      <c r="D218" s="5">
        <v>378044744</v>
      </c>
      <c r="E218" s="6" t="s">
        <v>89</v>
      </c>
      <c r="F218" s="6" t="s">
        <v>102</v>
      </c>
      <c r="G218" s="6">
        <v>1000000024</v>
      </c>
      <c r="H218" s="6" t="s">
        <v>332</v>
      </c>
      <c r="I218" s="6">
        <f>IF(SalesData[[#This Row],[Status of Call]]="completed",1,0)</f>
        <v>0</v>
      </c>
      <c r="J218" s="6">
        <f>1</f>
        <v>1</v>
      </c>
      <c r="K218" s="6">
        <f>SalesData[[#This Row],[Completed calls]]/SalesData[[#This Row],[Total calls]]</f>
        <v>0</v>
      </c>
      <c r="L218" s="4">
        <f t="shared" si="13"/>
        <v>0</v>
      </c>
      <c r="M218" s="4">
        <f t="shared" si="12"/>
        <v>1</v>
      </c>
      <c r="N218" s="4">
        <f t="shared" si="14"/>
        <v>0</v>
      </c>
      <c r="O218" s="7">
        <v>46237</v>
      </c>
      <c r="P218" s="9">
        <v>46237.543935185182</v>
      </c>
      <c r="Q218" s="9">
        <v>46237.544409722221</v>
      </c>
      <c r="R218" s="6">
        <v>42</v>
      </c>
      <c r="S218" s="4">
        <f t="shared" si="15"/>
        <v>1</v>
      </c>
      <c r="T218" s="6">
        <v>0.4</v>
      </c>
      <c r="U218" s="6" t="s">
        <v>26</v>
      </c>
      <c r="V218" s="6" t="s">
        <v>335</v>
      </c>
      <c r="W218" s="6"/>
    </row>
    <row r="219" spans="1:23" x14ac:dyDescent="0.3">
      <c r="A219" s="3" t="s">
        <v>343</v>
      </c>
      <c r="B219" s="6" t="s">
        <v>321</v>
      </c>
      <c r="C219" s="5">
        <v>8099389567</v>
      </c>
      <c r="D219" s="5">
        <v>190169882</v>
      </c>
      <c r="E219" s="6" t="s">
        <v>60</v>
      </c>
      <c r="F219" s="6" t="s">
        <v>98</v>
      </c>
      <c r="G219" s="6">
        <v>1000000015</v>
      </c>
      <c r="H219" s="6" t="s">
        <v>322</v>
      </c>
      <c r="I219" s="6">
        <f>IF(SalesData[[#This Row],[Status of Call]]="completed",1,0)</f>
        <v>0</v>
      </c>
      <c r="J219" s="6">
        <f>1</f>
        <v>1</v>
      </c>
      <c r="K219" s="6">
        <f>SalesData[[#This Row],[Completed calls]]/SalesData[[#This Row],[Total calls]]</f>
        <v>0</v>
      </c>
      <c r="L219" s="4">
        <f t="shared" si="13"/>
        <v>0</v>
      </c>
      <c r="M219" s="4">
        <f t="shared" si="12"/>
        <v>1</v>
      </c>
      <c r="N219" s="4">
        <f t="shared" si="14"/>
        <v>0</v>
      </c>
      <c r="O219" s="7">
        <v>46237</v>
      </c>
      <c r="P219" s="9">
        <v>46237.544583333336</v>
      </c>
      <c r="Q219" s="9">
        <v>46237.544942129629</v>
      </c>
      <c r="R219" s="6">
        <v>30</v>
      </c>
      <c r="S219" s="4">
        <f t="shared" si="15"/>
        <v>1</v>
      </c>
      <c r="T219" s="6">
        <v>0.4</v>
      </c>
      <c r="U219" s="6" t="s">
        <v>26</v>
      </c>
      <c r="V219" s="6" t="s">
        <v>142</v>
      </c>
      <c r="W219" s="6"/>
    </row>
    <row r="220" spans="1:23" x14ac:dyDescent="0.3">
      <c r="A220" s="3" t="s">
        <v>344</v>
      </c>
      <c r="B220" s="6" t="s">
        <v>321</v>
      </c>
      <c r="C220" s="5">
        <v>8099389567</v>
      </c>
      <c r="D220" s="5">
        <v>594542641</v>
      </c>
      <c r="E220" s="6" t="s">
        <v>38</v>
      </c>
      <c r="F220" s="6" t="s">
        <v>28</v>
      </c>
      <c r="G220" s="6">
        <v>1000000009</v>
      </c>
      <c r="H220" s="6" t="s">
        <v>322</v>
      </c>
      <c r="I220" s="6">
        <f>IF(SalesData[[#This Row],[Status of Call]]="completed",1,0)</f>
        <v>0</v>
      </c>
      <c r="J220" s="6">
        <f>1</f>
        <v>1</v>
      </c>
      <c r="K220" s="6">
        <f>SalesData[[#This Row],[Completed calls]]/SalesData[[#This Row],[Total calls]]</f>
        <v>0</v>
      </c>
      <c r="L220" s="4">
        <f t="shared" si="13"/>
        <v>0</v>
      </c>
      <c r="M220" s="4">
        <f t="shared" si="12"/>
        <v>1</v>
      </c>
      <c r="N220" s="4">
        <f t="shared" si="14"/>
        <v>0</v>
      </c>
      <c r="O220" s="7">
        <v>46237</v>
      </c>
      <c r="P220" s="9">
        <v>46237.545069444444</v>
      </c>
      <c r="Q220" s="9">
        <v>46237.545277777775</v>
      </c>
      <c r="R220" s="6">
        <v>15</v>
      </c>
      <c r="S220" s="4">
        <f t="shared" si="15"/>
        <v>1</v>
      </c>
      <c r="T220" s="6">
        <v>0.4</v>
      </c>
      <c r="U220" s="6" t="s">
        <v>26</v>
      </c>
      <c r="V220" s="6" t="s">
        <v>142</v>
      </c>
      <c r="W220" s="6"/>
    </row>
    <row r="221" spans="1:23" x14ac:dyDescent="0.3">
      <c r="A221" s="3" t="s">
        <v>345</v>
      </c>
      <c r="B221" s="6" t="s">
        <v>321</v>
      </c>
      <c r="C221" s="5">
        <v>8099389567</v>
      </c>
      <c r="D221" s="5">
        <v>162410213</v>
      </c>
      <c r="E221" s="6" t="s">
        <v>80</v>
      </c>
      <c r="F221" s="6" t="s">
        <v>82</v>
      </c>
      <c r="G221" s="6">
        <v>1000000033</v>
      </c>
      <c r="H221" s="6" t="s">
        <v>32</v>
      </c>
      <c r="I221" s="6">
        <f>IF(SalesData[[#This Row],[Status of Call]]="completed",1,0)</f>
        <v>1</v>
      </c>
      <c r="J221" s="6">
        <f>1</f>
        <v>1</v>
      </c>
      <c r="K221" s="6">
        <f>SalesData[[#This Row],[Completed calls]]/SalesData[[#This Row],[Total calls]]</f>
        <v>1</v>
      </c>
      <c r="L221" s="4">
        <f t="shared" si="13"/>
        <v>0</v>
      </c>
      <c r="M221" s="4">
        <f t="shared" si="12"/>
        <v>1</v>
      </c>
      <c r="N221" s="4">
        <f t="shared" si="14"/>
        <v>0</v>
      </c>
      <c r="O221" s="7">
        <v>46237</v>
      </c>
      <c r="P221" s="9">
        <v>46237.545405092591</v>
      </c>
      <c r="Q221" s="9">
        <v>46237.54587962963</v>
      </c>
      <c r="R221" s="6">
        <v>30</v>
      </c>
      <c r="S221" s="4">
        <f t="shared" si="15"/>
        <v>0</v>
      </c>
      <c r="U221" s="6" t="s">
        <v>26</v>
      </c>
      <c r="V221" s="6" t="s">
        <v>25</v>
      </c>
      <c r="W221" s="6"/>
    </row>
    <row r="222" spans="1:23" x14ac:dyDescent="0.3">
      <c r="A222" s="3" t="s">
        <v>346</v>
      </c>
      <c r="B222" s="6" t="s">
        <v>321</v>
      </c>
      <c r="C222" s="5">
        <v>8099389567</v>
      </c>
      <c r="D222" s="5">
        <v>869430236</v>
      </c>
      <c r="E222" s="6" t="s">
        <v>137</v>
      </c>
      <c r="F222" s="6" t="s">
        <v>117</v>
      </c>
      <c r="G222" s="6">
        <v>1000000032</v>
      </c>
      <c r="H222" s="6" t="s">
        <v>32</v>
      </c>
      <c r="I222" s="6">
        <f>IF(SalesData[[#This Row],[Status of Call]]="completed",1,0)</f>
        <v>1</v>
      </c>
      <c r="J222" s="6">
        <f>1</f>
        <v>1</v>
      </c>
      <c r="K222" s="6">
        <f>SalesData[[#This Row],[Completed calls]]/SalesData[[#This Row],[Total calls]]</f>
        <v>1</v>
      </c>
      <c r="L222" s="4">
        <f t="shared" si="13"/>
        <v>0</v>
      </c>
      <c r="M222" s="4">
        <f t="shared" si="12"/>
        <v>1</v>
      </c>
      <c r="N222" s="4">
        <f t="shared" si="14"/>
        <v>0</v>
      </c>
      <c r="O222" s="7">
        <v>46237</v>
      </c>
      <c r="P222" s="9">
        <v>46237.546284722222</v>
      </c>
      <c r="Q222" s="9">
        <v>46237.546678240738</v>
      </c>
      <c r="R222" s="6">
        <v>33</v>
      </c>
      <c r="S222" s="4">
        <f t="shared" si="15"/>
        <v>0</v>
      </c>
      <c r="T222" s="6">
        <v>1.1499999999999999</v>
      </c>
      <c r="U222" s="6" t="s">
        <v>26</v>
      </c>
      <c r="V222" s="6" t="s">
        <v>206</v>
      </c>
      <c r="W222" s="6"/>
    </row>
    <row r="223" spans="1:23" x14ac:dyDescent="0.3">
      <c r="A223" s="3" t="s">
        <v>347</v>
      </c>
      <c r="B223" s="10" t="s">
        <v>321</v>
      </c>
      <c r="C223" s="5">
        <v>8099389567</v>
      </c>
      <c r="D223" s="5">
        <v>102247021</v>
      </c>
      <c r="E223" s="6" t="s">
        <v>44</v>
      </c>
      <c r="F223" s="10" t="s">
        <v>70</v>
      </c>
      <c r="G223" s="10">
        <v>1000000002</v>
      </c>
      <c r="H223" s="10" t="s">
        <v>322</v>
      </c>
      <c r="I223" s="10">
        <f>IF(SalesData[[#This Row],[Status of Call]]="completed",1,0)</f>
        <v>0</v>
      </c>
      <c r="J223" s="10">
        <f>1</f>
        <v>1</v>
      </c>
      <c r="K223" s="10">
        <f>SalesData[[#This Row],[Completed calls]]/SalesData[[#This Row],[Total calls]]</f>
        <v>0</v>
      </c>
      <c r="L223" s="4">
        <f t="shared" si="13"/>
        <v>0</v>
      </c>
      <c r="M223" s="4">
        <f t="shared" si="12"/>
        <v>1</v>
      </c>
      <c r="N223" s="4">
        <f t="shared" si="14"/>
        <v>0</v>
      </c>
      <c r="O223" s="7">
        <v>46236</v>
      </c>
      <c r="P223" s="9">
        <v>46236.354479166665</v>
      </c>
      <c r="Q223" s="9">
        <v>46236.354733796295</v>
      </c>
      <c r="R223" s="10">
        <v>22</v>
      </c>
      <c r="S223" s="4">
        <f t="shared" si="15"/>
        <v>1</v>
      </c>
      <c r="T223" s="10">
        <v>0.4</v>
      </c>
      <c r="U223" s="10" t="s">
        <v>26</v>
      </c>
      <c r="V223" s="10" t="s">
        <v>26</v>
      </c>
      <c r="W223" s="6"/>
    </row>
    <row r="224" spans="1:23" x14ac:dyDescent="0.3">
      <c r="A224" s="3" t="s">
        <v>348</v>
      </c>
      <c r="B224" s="6" t="s">
        <v>321</v>
      </c>
      <c r="C224" s="5">
        <v>8099389567</v>
      </c>
      <c r="D224" s="5">
        <v>374776966</v>
      </c>
      <c r="E224" s="6" t="s">
        <v>127</v>
      </c>
      <c r="F224" s="6" t="s">
        <v>38</v>
      </c>
      <c r="G224" s="6">
        <v>1000000028</v>
      </c>
      <c r="H224" s="6" t="s">
        <v>322</v>
      </c>
      <c r="I224" s="6">
        <f>IF(SalesData[[#This Row],[Status of Call]]="completed",1,0)</f>
        <v>0</v>
      </c>
      <c r="J224" s="6">
        <f>1</f>
        <v>1</v>
      </c>
      <c r="K224" s="6">
        <f>SalesData[[#This Row],[Completed calls]]/SalesData[[#This Row],[Total calls]]</f>
        <v>0</v>
      </c>
      <c r="L224" s="4">
        <f t="shared" si="13"/>
        <v>0</v>
      </c>
      <c r="M224" s="4">
        <f t="shared" si="12"/>
        <v>1</v>
      </c>
      <c r="N224" s="4">
        <f t="shared" si="14"/>
        <v>0</v>
      </c>
      <c r="O224" s="7">
        <v>46237</v>
      </c>
      <c r="P224" s="9">
        <v>46237.588576388887</v>
      </c>
      <c r="Q224" s="9">
        <v>46237.588831018518</v>
      </c>
      <c r="R224" s="6">
        <v>22</v>
      </c>
      <c r="S224" s="4">
        <f t="shared" si="15"/>
        <v>1</v>
      </c>
      <c r="T224" s="6">
        <v>0.4</v>
      </c>
      <c r="U224" s="6" t="s">
        <v>26</v>
      </c>
      <c r="V224" s="6" t="s">
        <v>26</v>
      </c>
      <c r="W224" s="6"/>
    </row>
    <row r="225" spans="1:23" x14ac:dyDescent="0.3">
      <c r="A225" s="3" t="s">
        <v>349</v>
      </c>
      <c r="B225" s="6" t="s">
        <v>321</v>
      </c>
      <c r="C225" s="5">
        <v>8099389567</v>
      </c>
      <c r="D225" s="5">
        <v>63429952</v>
      </c>
      <c r="E225" s="6" t="s">
        <v>23</v>
      </c>
      <c r="F225" s="6" t="s">
        <v>93</v>
      </c>
      <c r="G225" s="6">
        <v>1000000039</v>
      </c>
      <c r="H225" s="6" t="s">
        <v>32</v>
      </c>
      <c r="I225" s="6">
        <f>IF(SalesData[[#This Row],[Status of Call]]="completed",1,0)</f>
        <v>1</v>
      </c>
      <c r="J225" s="6">
        <f>1</f>
        <v>1</v>
      </c>
      <c r="K225" s="6">
        <f>SalesData[[#This Row],[Completed calls]]/SalesData[[#This Row],[Total calls]]</f>
        <v>1</v>
      </c>
      <c r="L225" s="4">
        <f t="shared" si="13"/>
        <v>0</v>
      </c>
      <c r="M225" s="4">
        <f t="shared" si="12"/>
        <v>1</v>
      </c>
      <c r="N225" s="4">
        <f t="shared" si="14"/>
        <v>0</v>
      </c>
      <c r="O225" s="7">
        <v>46237</v>
      </c>
      <c r="P225" s="9">
        <v>46237.589108796295</v>
      </c>
      <c r="Q225" s="9">
        <v>46237.590439814812</v>
      </c>
      <c r="R225" s="6">
        <v>115</v>
      </c>
      <c r="S225" s="4">
        <f t="shared" si="15"/>
        <v>0</v>
      </c>
      <c r="T225" s="6">
        <v>1.6</v>
      </c>
      <c r="U225" s="6" t="s">
        <v>26</v>
      </c>
      <c r="V225" s="6" t="s">
        <v>26</v>
      </c>
      <c r="W225" s="6"/>
    </row>
    <row r="226" spans="1:23" x14ac:dyDescent="0.3">
      <c r="A226" s="3" t="s">
        <v>350</v>
      </c>
      <c r="B226" s="6" t="s">
        <v>321</v>
      </c>
      <c r="C226" s="5">
        <v>8099389567</v>
      </c>
      <c r="D226" s="5">
        <v>178183654</v>
      </c>
      <c r="E226" s="6" t="s">
        <v>40</v>
      </c>
      <c r="F226" s="6" t="s">
        <v>47</v>
      </c>
      <c r="G226" s="6">
        <v>1000000005</v>
      </c>
      <c r="H226" s="6" t="s">
        <v>322</v>
      </c>
      <c r="I226" s="6">
        <f>IF(SalesData[[#This Row],[Status of Call]]="completed",1,0)</f>
        <v>0</v>
      </c>
      <c r="J226" s="6">
        <f>1</f>
        <v>1</v>
      </c>
      <c r="K226" s="6">
        <f>SalesData[[#This Row],[Completed calls]]/SalesData[[#This Row],[Total calls]]</f>
        <v>0</v>
      </c>
      <c r="L226" s="4">
        <f t="shared" si="13"/>
        <v>0</v>
      </c>
      <c r="M226" s="4">
        <f t="shared" si="12"/>
        <v>1</v>
      </c>
      <c r="N226" s="4">
        <f t="shared" si="14"/>
        <v>0</v>
      </c>
      <c r="O226" s="7">
        <v>46237</v>
      </c>
      <c r="P226" s="9">
        <v>46237.591226851851</v>
      </c>
      <c r="Q226" s="9">
        <v>46237.591458333336</v>
      </c>
      <c r="R226" s="6">
        <v>20</v>
      </c>
      <c r="S226" s="4">
        <f t="shared" si="15"/>
        <v>1</v>
      </c>
      <c r="T226" s="6">
        <v>0.4</v>
      </c>
      <c r="U226" s="6" t="s">
        <v>26</v>
      </c>
      <c r="V226" s="6" t="s">
        <v>26</v>
      </c>
      <c r="W226" s="6"/>
    </row>
    <row r="227" spans="1:23" x14ac:dyDescent="0.3">
      <c r="A227" s="3" t="s">
        <v>351</v>
      </c>
      <c r="B227" s="6" t="s">
        <v>321</v>
      </c>
      <c r="C227" s="5">
        <v>8099389567</v>
      </c>
      <c r="D227" s="5">
        <v>860792222</v>
      </c>
      <c r="E227" s="6" t="s">
        <v>187</v>
      </c>
      <c r="F227" s="6" t="s">
        <v>203</v>
      </c>
      <c r="G227" s="6">
        <v>1000000025</v>
      </c>
      <c r="H227" s="6" t="s">
        <v>32</v>
      </c>
      <c r="I227" s="6">
        <f>IF(SalesData[[#This Row],[Status of Call]]="completed",1,0)</f>
        <v>1</v>
      </c>
      <c r="J227" s="6">
        <f>1</f>
        <v>1</v>
      </c>
      <c r="K227" s="6">
        <f>SalesData[[#This Row],[Completed calls]]/SalesData[[#This Row],[Total calls]]</f>
        <v>1</v>
      </c>
      <c r="L227" s="4">
        <f t="shared" si="13"/>
        <v>0</v>
      </c>
      <c r="M227" s="4">
        <f t="shared" si="12"/>
        <v>1</v>
      </c>
      <c r="N227" s="4">
        <f t="shared" si="14"/>
        <v>0</v>
      </c>
      <c r="O227" s="7">
        <v>46237</v>
      </c>
      <c r="P227" s="9">
        <v>46237.591921296298</v>
      </c>
      <c r="Q227" s="9">
        <v>46237.592361111114</v>
      </c>
      <c r="R227" s="6">
        <v>38</v>
      </c>
      <c r="S227" s="4">
        <f t="shared" si="15"/>
        <v>0</v>
      </c>
      <c r="T227" s="6">
        <v>1.1499999999999999</v>
      </c>
      <c r="U227" s="6" t="s">
        <v>26</v>
      </c>
      <c r="V227" s="6" t="s">
        <v>142</v>
      </c>
      <c r="W227" s="6"/>
    </row>
    <row r="228" spans="1:23" x14ac:dyDescent="0.3">
      <c r="A228" s="3" t="s">
        <v>352</v>
      </c>
      <c r="B228" s="6" t="s">
        <v>321</v>
      </c>
      <c r="C228" s="5">
        <v>8099389567</v>
      </c>
      <c r="D228" s="5">
        <v>162935980</v>
      </c>
      <c r="E228" s="6" t="s">
        <v>80</v>
      </c>
      <c r="F228" s="6" t="s">
        <v>203</v>
      </c>
      <c r="G228" s="6">
        <v>1000000025</v>
      </c>
      <c r="H228" s="6" t="s">
        <v>32</v>
      </c>
      <c r="I228" s="6">
        <f>IF(SalesData[[#This Row],[Status of Call]]="completed",1,0)</f>
        <v>1</v>
      </c>
      <c r="J228" s="6">
        <f>1</f>
        <v>1</v>
      </c>
      <c r="K228" s="6">
        <f>SalesData[[#This Row],[Completed calls]]/SalesData[[#This Row],[Total calls]]</f>
        <v>1</v>
      </c>
      <c r="L228" s="4">
        <f t="shared" si="13"/>
        <v>0</v>
      </c>
      <c r="M228" s="4">
        <f t="shared" si="12"/>
        <v>1</v>
      </c>
      <c r="N228" s="4">
        <f t="shared" si="14"/>
        <v>0</v>
      </c>
      <c r="O228" s="7">
        <v>46237</v>
      </c>
      <c r="P228" s="9">
        <v>46237.592766203707</v>
      </c>
      <c r="Q228" s="9">
        <v>46237.593506944446</v>
      </c>
      <c r="R228" s="6">
        <v>65</v>
      </c>
      <c r="S228" s="4">
        <f t="shared" si="15"/>
        <v>0</v>
      </c>
      <c r="T228" s="6">
        <v>1.1499999999999999</v>
      </c>
      <c r="U228" s="6" t="s">
        <v>26</v>
      </c>
      <c r="V228" s="6" t="s">
        <v>206</v>
      </c>
      <c r="W228" s="6"/>
    </row>
    <row r="229" spans="1:23" x14ac:dyDescent="0.3">
      <c r="A229" s="3" t="s">
        <v>353</v>
      </c>
      <c r="B229" s="6" t="s">
        <v>321</v>
      </c>
      <c r="C229" s="5">
        <v>8099389567</v>
      </c>
      <c r="D229" s="5">
        <v>896635850</v>
      </c>
      <c r="E229" s="6" t="s">
        <v>34</v>
      </c>
      <c r="F229" s="6" t="s">
        <v>93</v>
      </c>
      <c r="G229" s="6">
        <v>1000000039</v>
      </c>
      <c r="H229" s="6" t="s">
        <v>322</v>
      </c>
      <c r="I229" s="6">
        <f>IF(SalesData[[#This Row],[Status of Call]]="completed",1,0)</f>
        <v>0</v>
      </c>
      <c r="J229" s="6">
        <f>1</f>
        <v>1</v>
      </c>
      <c r="K229" s="6">
        <f>SalesData[[#This Row],[Completed calls]]/SalesData[[#This Row],[Total calls]]</f>
        <v>0</v>
      </c>
      <c r="L229" s="4">
        <f t="shared" si="13"/>
        <v>0</v>
      </c>
      <c r="M229" s="4">
        <f t="shared" si="12"/>
        <v>1</v>
      </c>
      <c r="N229" s="4">
        <f t="shared" si="14"/>
        <v>0</v>
      </c>
      <c r="O229" s="7">
        <v>46237</v>
      </c>
      <c r="P229" s="9">
        <v>46237.594050925924</v>
      </c>
      <c r="Q229" s="9">
        <v>46237.594270833331</v>
      </c>
      <c r="R229" s="6">
        <v>19</v>
      </c>
      <c r="S229" s="4">
        <f t="shared" si="15"/>
        <v>1</v>
      </c>
      <c r="T229" s="6">
        <v>0.4</v>
      </c>
      <c r="U229" s="6" t="s">
        <v>26</v>
      </c>
      <c r="V229" s="6" t="s">
        <v>26</v>
      </c>
      <c r="W229" s="6"/>
    </row>
    <row r="230" spans="1:23" x14ac:dyDescent="0.3">
      <c r="A230" s="3" t="s">
        <v>354</v>
      </c>
      <c r="B230" s="6" t="s">
        <v>321</v>
      </c>
      <c r="C230" s="5">
        <v>8099389567</v>
      </c>
      <c r="D230" s="5">
        <v>262620759</v>
      </c>
      <c r="E230" s="6" t="s">
        <v>63</v>
      </c>
      <c r="F230" s="6" t="s">
        <v>75</v>
      </c>
      <c r="G230" s="6">
        <v>1000000030</v>
      </c>
      <c r="H230" s="6" t="s">
        <v>32</v>
      </c>
      <c r="I230" s="6">
        <f>IF(SalesData[[#This Row],[Status of Call]]="completed",1,0)</f>
        <v>1</v>
      </c>
      <c r="J230" s="6">
        <f>1</f>
        <v>1</v>
      </c>
      <c r="K230" s="6">
        <f>SalesData[[#This Row],[Completed calls]]/SalesData[[#This Row],[Total calls]]</f>
        <v>1</v>
      </c>
      <c r="L230" s="4">
        <f t="shared" si="13"/>
        <v>0</v>
      </c>
      <c r="M230" s="4">
        <f t="shared" si="12"/>
        <v>1</v>
      </c>
      <c r="N230" s="4">
        <f t="shared" si="14"/>
        <v>0</v>
      </c>
      <c r="O230" s="7">
        <v>46237</v>
      </c>
      <c r="P230" s="9">
        <v>46237.59443287037</v>
      </c>
      <c r="Q230" s="9">
        <v>46237.596435185187</v>
      </c>
      <c r="R230" s="6">
        <v>174</v>
      </c>
      <c r="S230" s="4">
        <f t="shared" si="15"/>
        <v>0</v>
      </c>
      <c r="T230" s="6">
        <v>2.4</v>
      </c>
      <c r="U230" s="6" t="s">
        <v>26</v>
      </c>
      <c r="V230" s="6" t="s">
        <v>26</v>
      </c>
      <c r="W230" s="6"/>
    </row>
    <row r="231" spans="1:23" x14ac:dyDescent="0.3">
      <c r="A231" s="3" t="s">
        <v>355</v>
      </c>
      <c r="B231" s="6" t="s">
        <v>321</v>
      </c>
      <c r="C231" s="5">
        <v>8099389567</v>
      </c>
      <c r="D231" s="5">
        <v>777689739</v>
      </c>
      <c r="E231" s="6" t="s">
        <v>37</v>
      </c>
      <c r="F231" s="6" t="s">
        <v>152</v>
      </c>
      <c r="G231" s="6">
        <v>1000000036</v>
      </c>
      <c r="H231" s="6" t="s">
        <v>32</v>
      </c>
      <c r="I231" s="6">
        <f>IF(SalesData[[#This Row],[Status of Call]]="completed",1,0)</f>
        <v>1</v>
      </c>
      <c r="J231" s="6">
        <f>1</f>
        <v>1</v>
      </c>
      <c r="K231" s="6">
        <f>SalesData[[#This Row],[Completed calls]]/SalesData[[#This Row],[Total calls]]</f>
        <v>1</v>
      </c>
      <c r="L231" s="4">
        <f t="shared" si="13"/>
        <v>0</v>
      </c>
      <c r="M231" s="4">
        <f t="shared" si="12"/>
        <v>1</v>
      </c>
      <c r="N231" s="4">
        <f t="shared" si="14"/>
        <v>0</v>
      </c>
      <c r="O231" s="7">
        <v>46237</v>
      </c>
      <c r="P231" s="9">
        <v>46237.597060185188</v>
      </c>
      <c r="Q231" s="9">
        <v>46237.597743055558</v>
      </c>
      <c r="R231" s="6">
        <v>60</v>
      </c>
      <c r="S231" s="4">
        <f t="shared" si="15"/>
        <v>0</v>
      </c>
      <c r="T231" s="6">
        <v>1.1499999999999999</v>
      </c>
      <c r="U231" s="6" t="s">
        <v>26</v>
      </c>
      <c r="V231" s="6" t="s">
        <v>142</v>
      </c>
      <c r="W231" s="6"/>
    </row>
    <row r="232" spans="1:23" x14ac:dyDescent="0.3">
      <c r="A232" s="3" t="s">
        <v>356</v>
      </c>
      <c r="B232" s="6" t="s">
        <v>321</v>
      </c>
      <c r="C232" s="5">
        <v>8099389567</v>
      </c>
      <c r="D232" s="5">
        <v>544123186</v>
      </c>
      <c r="E232" s="6" t="s">
        <v>137</v>
      </c>
      <c r="F232" s="6" t="s">
        <v>107</v>
      </c>
      <c r="G232" s="6">
        <v>1000000035</v>
      </c>
      <c r="H232" s="6" t="s">
        <v>332</v>
      </c>
      <c r="I232" s="6">
        <f>IF(SalesData[[#This Row],[Status of Call]]="completed",1,0)</f>
        <v>0</v>
      </c>
      <c r="J232" s="6">
        <f>1</f>
        <v>1</v>
      </c>
      <c r="K232" s="6">
        <f>SalesData[[#This Row],[Completed calls]]/SalesData[[#This Row],[Total calls]]</f>
        <v>0</v>
      </c>
      <c r="L232" s="4">
        <f t="shared" si="13"/>
        <v>0</v>
      </c>
      <c r="M232" s="4">
        <f t="shared" si="12"/>
        <v>1</v>
      </c>
      <c r="N232" s="4">
        <f t="shared" si="14"/>
        <v>0</v>
      </c>
      <c r="O232" s="7">
        <v>46237</v>
      </c>
      <c r="P232" s="9">
        <v>46237.637557870374</v>
      </c>
      <c r="Q232" s="9">
        <v>46237.638113425928</v>
      </c>
      <c r="R232" s="6">
        <v>48</v>
      </c>
      <c r="S232" s="4">
        <f t="shared" si="15"/>
        <v>1</v>
      </c>
      <c r="T232" s="6">
        <v>0.4</v>
      </c>
      <c r="U232" s="6" t="s">
        <v>26</v>
      </c>
      <c r="V232" s="6" t="s">
        <v>142</v>
      </c>
      <c r="W232" s="6"/>
    </row>
    <row r="233" spans="1:23" x14ac:dyDescent="0.3">
      <c r="A233" s="3" t="s">
        <v>357</v>
      </c>
      <c r="B233" s="6" t="s">
        <v>321</v>
      </c>
      <c r="C233" s="5">
        <v>8099389567</v>
      </c>
      <c r="D233" s="5">
        <v>381954244</v>
      </c>
      <c r="E233" s="6" t="s">
        <v>77</v>
      </c>
      <c r="F233" s="6" t="s">
        <v>48</v>
      </c>
      <c r="G233" s="6">
        <v>1000000008</v>
      </c>
      <c r="H233" s="6" t="s">
        <v>32</v>
      </c>
      <c r="I233" s="6">
        <f>IF(SalesData[[#This Row],[Status of Call]]="completed",1,0)</f>
        <v>1</v>
      </c>
      <c r="J233" s="6">
        <f>1</f>
        <v>1</v>
      </c>
      <c r="K233" s="6">
        <f>SalesData[[#This Row],[Completed calls]]/SalesData[[#This Row],[Total calls]]</f>
        <v>1</v>
      </c>
      <c r="L233" s="4">
        <f t="shared" si="13"/>
        <v>0</v>
      </c>
      <c r="M233" s="4">
        <f t="shared" si="12"/>
        <v>1</v>
      </c>
      <c r="N233" s="4">
        <f t="shared" si="14"/>
        <v>0</v>
      </c>
      <c r="O233" s="7">
        <v>46237</v>
      </c>
      <c r="P233" s="9">
        <v>46237.659247685187</v>
      </c>
      <c r="Q233" s="9">
        <v>46237.659641203703</v>
      </c>
      <c r="R233" s="6">
        <v>35</v>
      </c>
      <c r="S233" s="4">
        <f t="shared" si="15"/>
        <v>0</v>
      </c>
      <c r="T233" s="6">
        <v>0.8</v>
      </c>
      <c r="U233" s="6" t="s">
        <v>26</v>
      </c>
      <c r="V233" s="6" t="s">
        <v>26</v>
      </c>
      <c r="W233" s="6"/>
    </row>
    <row r="234" spans="1:23" x14ac:dyDescent="0.3">
      <c r="A234" s="3" t="s">
        <v>358</v>
      </c>
      <c r="B234" s="6" t="s">
        <v>321</v>
      </c>
      <c r="C234" s="5">
        <v>8099389567</v>
      </c>
      <c r="D234" s="5">
        <v>489422881</v>
      </c>
      <c r="E234" s="6" t="s">
        <v>47</v>
      </c>
      <c r="F234" s="6" t="s">
        <v>212</v>
      </c>
      <c r="G234" s="6">
        <v>1000000019</v>
      </c>
      <c r="H234" s="6" t="s">
        <v>332</v>
      </c>
      <c r="I234" s="6">
        <f>IF(SalesData[[#This Row],[Status of Call]]="completed",1,0)</f>
        <v>0</v>
      </c>
      <c r="J234" s="6">
        <f>1</f>
        <v>1</v>
      </c>
      <c r="K234" s="6">
        <f>SalesData[[#This Row],[Completed calls]]/SalesData[[#This Row],[Total calls]]</f>
        <v>0</v>
      </c>
      <c r="L234" s="4">
        <f t="shared" si="13"/>
        <v>0</v>
      </c>
      <c r="M234" s="4">
        <f t="shared" si="12"/>
        <v>1</v>
      </c>
      <c r="N234" s="4">
        <f t="shared" si="14"/>
        <v>0</v>
      </c>
      <c r="O234" s="7">
        <v>46237</v>
      </c>
      <c r="P234" s="9">
        <v>46237.659930555557</v>
      </c>
      <c r="Q234" s="9">
        <v>46237.660416666666</v>
      </c>
      <c r="R234" s="6">
        <v>42</v>
      </c>
      <c r="S234" s="4">
        <f t="shared" si="15"/>
        <v>1</v>
      </c>
      <c r="T234" s="6">
        <v>0.4</v>
      </c>
      <c r="U234" s="6" t="s">
        <v>26</v>
      </c>
      <c r="V234" s="6" t="s">
        <v>206</v>
      </c>
      <c r="W234" s="6"/>
    </row>
    <row r="235" spans="1:23" x14ac:dyDescent="0.3">
      <c r="A235" s="3" t="s">
        <v>359</v>
      </c>
      <c r="B235" s="6" t="s">
        <v>321</v>
      </c>
      <c r="C235" s="5">
        <v>8099389567</v>
      </c>
      <c r="D235" s="5">
        <v>408018286</v>
      </c>
      <c r="E235" s="6" t="s">
        <v>74</v>
      </c>
      <c r="F235" s="6" t="s">
        <v>38</v>
      </c>
      <c r="G235" s="6">
        <v>1000000028</v>
      </c>
      <c r="H235" s="6" t="s">
        <v>32</v>
      </c>
      <c r="I235" s="6">
        <f>IF(SalesData[[#This Row],[Status of Call]]="completed",1,0)</f>
        <v>1</v>
      </c>
      <c r="J235" s="6">
        <f>1</f>
        <v>1</v>
      </c>
      <c r="K235" s="6">
        <f>SalesData[[#This Row],[Completed calls]]/SalesData[[#This Row],[Total calls]]</f>
        <v>1</v>
      </c>
      <c r="L235" s="4">
        <f t="shared" si="13"/>
        <v>0</v>
      </c>
      <c r="M235" s="4">
        <f t="shared" si="12"/>
        <v>1</v>
      </c>
      <c r="N235" s="4">
        <f t="shared" si="14"/>
        <v>0</v>
      </c>
      <c r="O235" s="7">
        <v>46237</v>
      </c>
      <c r="P235" s="9">
        <v>46237.660590277781</v>
      </c>
      <c r="Q235" s="9">
        <v>46237.66170138889</v>
      </c>
      <c r="R235" s="6">
        <v>95</v>
      </c>
      <c r="S235" s="4">
        <f t="shared" si="15"/>
        <v>0</v>
      </c>
      <c r="T235" s="6">
        <v>2.2999999999999998</v>
      </c>
      <c r="U235" s="6" t="s">
        <v>26</v>
      </c>
      <c r="V235" s="6" t="s">
        <v>206</v>
      </c>
      <c r="W235" s="6"/>
    </row>
    <row r="236" spans="1:23" x14ac:dyDescent="0.3">
      <c r="A236" s="3" t="s">
        <v>360</v>
      </c>
      <c r="B236" s="6" t="s">
        <v>321</v>
      </c>
      <c r="C236" s="5">
        <v>8099389567</v>
      </c>
      <c r="D236" s="5">
        <v>466182307</v>
      </c>
      <c r="E236" s="6" t="s">
        <v>58</v>
      </c>
      <c r="F236" s="6" t="s">
        <v>56</v>
      </c>
      <c r="G236" s="6">
        <v>1000000034</v>
      </c>
      <c r="H236" s="6" t="s">
        <v>332</v>
      </c>
      <c r="I236" s="6">
        <f>IF(SalesData[[#This Row],[Status of Call]]="completed",1,0)</f>
        <v>0</v>
      </c>
      <c r="J236" s="6">
        <f>1</f>
        <v>1</v>
      </c>
      <c r="K236" s="6">
        <f>SalesData[[#This Row],[Completed calls]]/SalesData[[#This Row],[Total calls]]</f>
        <v>0</v>
      </c>
      <c r="L236" s="4">
        <f t="shared" si="13"/>
        <v>0</v>
      </c>
      <c r="M236" s="4">
        <f t="shared" si="12"/>
        <v>1</v>
      </c>
      <c r="N236" s="4">
        <f t="shared" si="14"/>
        <v>0</v>
      </c>
      <c r="O236" s="7">
        <v>46237</v>
      </c>
      <c r="P236" s="9">
        <v>46237.73578703704</v>
      </c>
      <c r="Q236" s="9">
        <v>46237.736273148148</v>
      </c>
      <c r="R236" s="6">
        <v>43</v>
      </c>
      <c r="S236" s="4">
        <f t="shared" si="15"/>
        <v>1</v>
      </c>
      <c r="T236" s="6">
        <v>0.4</v>
      </c>
      <c r="U236" s="6" t="s">
        <v>26</v>
      </c>
      <c r="V236" s="6" t="s">
        <v>206</v>
      </c>
      <c r="W236" s="6"/>
    </row>
    <row r="237" spans="1:23" x14ac:dyDescent="0.3">
      <c r="A237" s="3" t="s">
        <v>361</v>
      </c>
      <c r="B237" s="6" t="s">
        <v>321</v>
      </c>
      <c r="C237" s="5">
        <v>8099389567</v>
      </c>
      <c r="D237" s="5">
        <v>746407416</v>
      </c>
      <c r="E237" s="6" t="s">
        <v>38</v>
      </c>
      <c r="F237" s="6" t="s">
        <v>64</v>
      </c>
      <c r="G237" s="6">
        <v>1000000001</v>
      </c>
      <c r="H237" s="6" t="s">
        <v>32</v>
      </c>
      <c r="I237" s="6">
        <f>IF(SalesData[[#This Row],[Status of Call]]="completed",1,0)</f>
        <v>1</v>
      </c>
      <c r="J237" s="6">
        <f>1</f>
        <v>1</v>
      </c>
      <c r="K237" s="6">
        <f>SalesData[[#This Row],[Completed calls]]/SalesData[[#This Row],[Total calls]]</f>
        <v>1</v>
      </c>
      <c r="L237" s="4">
        <f t="shared" si="13"/>
        <v>0</v>
      </c>
      <c r="M237" s="4">
        <f t="shared" si="12"/>
        <v>1</v>
      </c>
      <c r="N237" s="4">
        <f t="shared" si="14"/>
        <v>0</v>
      </c>
      <c r="O237" s="7">
        <v>46237</v>
      </c>
      <c r="P237" s="9">
        <v>46237.736064814817</v>
      </c>
      <c r="Q237" s="9">
        <v>46237.737233796295</v>
      </c>
      <c r="R237" s="6">
        <v>102</v>
      </c>
      <c r="S237" s="4">
        <f t="shared" si="15"/>
        <v>0</v>
      </c>
      <c r="T237" s="6">
        <v>2.2999999999999998</v>
      </c>
      <c r="U237" s="6" t="s">
        <v>26</v>
      </c>
      <c r="V237" s="6" t="s">
        <v>109</v>
      </c>
      <c r="W237" s="6"/>
    </row>
    <row r="238" spans="1:23" x14ac:dyDescent="0.3">
      <c r="A238" s="3" t="s">
        <v>362</v>
      </c>
      <c r="B238" s="6" t="s">
        <v>321</v>
      </c>
      <c r="C238" s="5">
        <v>8099389567</v>
      </c>
      <c r="D238" s="5">
        <v>396201886</v>
      </c>
      <c r="E238" s="6" t="s">
        <v>28</v>
      </c>
      <c r="F238" s="6" t="s">
        <v>93</v>
      </c>
      <c r="G238" s="6">
        <v>1000000039</v>
      </c>
      <c r="H238" s="6" t="s">
        <v>322</v>
      </c>
      <c r="I238" s="6">
        <f>IF(SalesData[[#This Row],[Status of Call]]="completed",1,0)</f>
        <v>0</v>
      </c>
      <c r="J238" s="6">
        <f>1</f>
        <v>1</v>
      </c>
      <c r="K238" s="6">
        <f>SalesData[[#This Row],[Completed calls]]/SalesData[[#This Row],[Total calls]]</f>
        <v>0</v>
      </c>
      <c r="L238" s="4">
        <f t="shared" si="13"/>
        <v>0</v>
      </c>
      <c r="M238" s="4">
        <f t="shared" si="12"/>
        <v>1</v>
      </c>
      <c r="N238" s="4">
        <f t="shared" si="14"/>
        <v>0</v>
      </c>
      <c r="O238" s="7">
        <v>46237</v>
      </c>
      <c r="P238" s="9">
        <v>46237.736504629633</v>
      </c>
      <c r="Q238" s="9">
        <v>46237.736840277779</v>
      </c>
      <c r="R238" s="6">
        <v>30</v>
      </c>
      <c r="S238" s="4">
        <f t="shared" si="15"/>
        <v>1</v>
      </c>
      <c r="T238" s="6">
        <v>0.4</v>
      </c>
      <c r="U238" s="6" t="s">
        <v>26</v>
      </c>
      <c r="V238" s="6" t="s">
        <v>42</v>
      </c>
      <c r="W238" s="6"/>
    </row>
    <row r="239" spans="1:23" x14ac:dyDescent="0.3">
      <c r="A239" s="3" t="s">
        <v>363</v>
      </c>
      <c r="B239" s="6" t="s">
        <v>321</v>
      </c>
      <c r="C239" s="5">
        <v>8099389567</v>
      </c>
      <c r="D239" s="5">
        <v>598178264</v>
      </c>
      <c r="E239" s="6" t="s">
        <v>137</v>
      </c>
      <c r="F239" s="6" t="s">
        <v>327</v>
      </c>
      <c r="G239" s="6">
        <v>1000000021</v>
      </c>
      <c r="H239" s="6" t="s">
        <v>332</v>
      </c>
      <c r="I239" s="6">
        <f>IF(SalesData[[#This Row],[Status of Call]]="completed",1,0)</f>
        <v>0</v>
      </c>
      <c r="J239" s="6">
        <f>1</f>
        <v>1</v>
      </c>
      <c r="K239" s="6">
        <f>SalesData[[#This Row],[Completed calls]]/SalesData[[#This Row],[Total calls]]</f>
        <v>0</v>
      </c>
      <c r="L239" s="4">
        <f t="shared" si="13"/>
        <v>0</v>
      </c>
      <c r="M239" s="4">
        <f t="shared" si="12"/>
        <v>1</v>
      </c>
      <c r="N239" s="4">
        <f t="shared" si="14"/>
        <v>0</v>
      </c>
      <c r="O239" s="7">
        <v>46237</v>
      </c>
      <c r="P239" s="9">
        <v>46237.737037037034</v>
      </c>
      <c r="Q239" s="9">
        <v>46237.737534722219</v>
      </c>
      <c r="R239" s="6">
        <v>43</v>
      </c>
      <c r="S239" s="4">
        <f t="shared" si="15"/>
        <v>1</v>
      </c>
      <c r="T239" s="6">
        <v>0.4</v>
      </c>
      <c r="U239" s="6" t="s">
        <v>26</v>
      </c>
      <c r="V239" s="6" t="s">
        <v>26</v>
      </c>
      <c r="W239" s="6"/>
    </row>
    <row r="240" spans="1:23" x14ac:dyDescent="0.3">
      <c r="A240" s="3" t="s">
        <v>364</v>
      </c>
      <c r="B240" s="6" t="s">
        <v>321</v>
      </c>
      <c r="C240" s="5">
        <v>8099389567</v>
      </c>
      <c r="D240" s="5">
        <v>604374959</v>
      </c>
      <c r="E240" s="6" t="s">
        <v>30</v>
      </c>
      <c r="F240" s="6" t="s">
        <v>117</v>
      </c>
      <c r="G240" s="6">
        <v>1000000032</v>
      </c>
      <c r="H240" s="6" t="s">
        <v>322</v>
      </c>
      <c r="I240" s="6">
        <f>IF(SalesData[[#This Row],[Status of Call]]="completed",1,0)</f>
        <v>0</v>
      </c>
      <c r="J240" s="6">
        <f>1</f>
        <v>1</v>
      </c>
      <c r="K240" s="6">
        <f>SalesData[[#This Row],[Completed calls]]/SalesData[[#This Row],[Total calls]]</f>
        <v>0</v>
      </c>
      <c r="L240" s="4">
        <f t="shared" si="13"/>
        <v>0</v>
      </c>
      <c r="M240" s="4">
        <f t="shared" si="12"/>
        <v>1</v>
      </c>
      <c r="N240" s="4">
        <f t="shared" si="14"/>
        <v>0</v>
      </c>
      <c r="O240" s="7">
        <v>46237</v>
      </c>
      <c r="P240" s="9">
        <v>46237.73814814815</v>
      </c>
      <c r="Q240" s="9">
        <v>46237.73846064815</v>
      </c>
      <c r="R240" s="6">
        <v>27</v>
      </c>
      <c r="S240" s="4">
        <f t="shared" si="15"/>
        <v>1</v>
      </c>
      <c r="T240" s="6">
        <v>0.4</v>
      </c>
      <c r="U240" s="6" t="s">
        <v>26</v>
      </c>
      <c r="V240" s="6" t="s">
        <v>142</v>
      </c>
      <c r="W240" s="6"/>
    </row>
    <row r="241" spans="1:23" x14ac:dyDescent="0.3">
      <c r="A241" s="3" t="s">
        <v>365</v>
      </c>
      <c r="B241" s="6" t="s">
        <v>321</v>
      </c>
      <c r="C241" s="5">
        <v>8099389567</v>
      </c>
      <c r="D241" s="5">
        <v>483753957</v>
      </c>
      <c r="E241" s="6" t="s">
        <v>145</v>
      </c>
      <c r="F241" s="6" t="s">
        <v>48</v>
      </c>
      <c r="G241" s="6">
        <v>1000000008</v>
      </c>
      <c r="H241" s="6" t="s">
        <v>322</v>
      </c>
      <c r="I241" s="6">
        <f>IF(SalesData[[#This Row],[Status of Call]]="completed",1,0)</f>
        <v>0</v>
      </c>
      <c r="J241" s="6">
        <f>1</f>
        <v>1</v>
      </c>
      <c r="K241" s="6">
        <f>SalesData[[#This Row],[Completed calls]]/SalesData[[#This Row],[Total calls]]</f>
        <v>0</v>
      </c>
      <c r="L241" s="4">
        <f t="shared" si="13"/>
        <v>0</v>
      </c>
      <c r="M241" s="4">
        <f t="shared" si="12"/>
        <v>1</v>
      </c>
      <c r="N241" s="4">
        <f t="shared" si="14"/>
        <v>0</v>
      </c>
      <c r="O241" s="7">
        <v>46237</v>
      </c>
      <c r="P241" s="9">
        <v>46237.738634259258</v>
      </c>
      <c r="Q241" s="9">
        <v>46237.739016203705</v>
      </c>
      <c r="R241" s="6">
        <v>34</v>
      </c>
      <c r="S241" s="4">
        <f t="shared" si="15"/>
        <v>1</v>
      </c>
      <c r="T241" s="6">
        <v>0.4</v>
      </c>
      <c r="U241" s="6" t="s">
        <v>26</v>
      </c>
      <c r="V241" s="6" t="s">
        <v>335</v>
      </c>
      <c r="W241" s="6"/>
    </row>
    <row r="242" spans="1:23" x14ac:dyDescent="0.3">
      <c r="A242" s="3" t="s">
        <v>366</v>
      </c>
      <c r="B242" s="6" t="s">
        <v>321</v>
      </c>
      <c r="C242" s="5">
        <v>8099389567</v>
      </c>
      <c r="D242" s="5">
        <v>414283044</v>
      </c>
      <c r="E242" s="6" t="s">
        <v>77</v>
      </c>
      <c r="F242" s="6" t="s">
        <v>102</v>
      </c>
      <c r="G242" s="6">
        <v>1000000024</v>
      </c>
      <c r="H242" s="6" t="s">
        <v>32</v>
      </c>
      <c r="I242" s="6">
        <f>IF(SalesData[[#This Row],[Status of Call]]="completed",1,0)</f>
        <v>1</v>
      </c>
      <c r="J242" s="6">
        <f>1</f>
        <v>1</v>
      </c>
      <c r="K242" s="6">
        <f>SalesData[[#This Row],[Completed calls]]/SalesData[[#This Row],[Total calls]]</f>
        <v>1</v>
      </c>
      <c r="L242" s="4">
        <f t="shared" si="13"/>
        <v>0</v>
      </c>
      <c r="M242" s="4">
        <f t="shared" si="12"/>
        <v>1</v>
      </c>
      <c r="N242" s="4">
        <f t="shared" si="14"/>
        <v>0</v>
      </c>
      <c r="O242" s="7">
        <v>46237</v>
      </c>
      <c r="P242" s="9">
        <v>46237.739062499997</v>
      </c>
      <c r="Q242" s="9">
        <v>46237.740567129629</v>
      </c>
      <c r="R242" s="6">
        <v>130</v>
      </c>
      <c r="S242" s="4">
        <f t="shared" si="15"/>
        <v>0</v>
      </c>
      <c r="T242" s="6">
        <v>2.7</v>
      </c>
      <c r="U242" s="6" t="s">
        <v>26</v>
      </c>
      <c r="V242" s="6" t="s">
        <v>142</v>
      </c>
      <c r="W242" s="6"/>
    </row>
    <row r="243" spans="1:23" x14ac:dyDescent="0.3">
      <c r="A243" s="3" t="s">
        <v>367</v>
      </c>
      <c r="B243" s="6" t="s">
        <v>321</v>
      </c>
      <c r="C243" s="5">
        <v>8099389567</v>
      </c>
      <c r="D243" s="5">
        <v>403005410</v>
      </c>
      <c r="E243" s="6" t="s">
        <v>123</v>
      </c>
      <c r="F243" s="6" t="s">
        <v>45</v>
      </c>
      <c r="G243" s="6">
        <v>1000000004</v>
      </c>
      <c r="H243" s="6" t="s">
        <v>322</v>
      </c>
      <c r="I243" s="6">
        <f>IF(SalesData[[#This Row],[Status of Call]]="completed",1,0)</f>
        <v>0</v>
      </c>
      <c r="J243" s="6">
        <f>1</f>
        <v>1</v>
      </c>
      <c r="K243" s="6">
        <f>SalesData[[#This Row],[Completed calls]]/SalesData[[#This Row],[Total calls]]</f>
        <v>0</v>
      </c>
      <c r="L243" s="4">
        <f t="shared" si="13"/>
        <v>0</v>
      </c>
      <c r="M243" s="4">
        <f t="shared" si="12"/>
        <v>1</v>
      </c>
      <c r="N243" s="4">
        <f t="shared" si="14"/>
        <v>0</v>
      </c>
      <c r="O243" s="7">
        <v>46237</v>
      </c>
      <c r="P243" s="9">
        <v>46237.740914351853</v>
      </c>
      <c r="Q243" s="9">
        <v>46237.741273148145</v>
      </c>
      <c r="R243" s="6">
        <v>31</v>
      </c>
      <c r="S243" s="4">
        <f t="shared" si="15"/>
        <v>1</v>
      </c>
      <c r="T243" s="6">
        <v>0.4</v>
      </c>
      <c r="U243" s="6" t="s">
        <v>26</v>
      </c>
      <c r="V243" s="6" t="s">
        <v>142</v>
      </c>
      <c r="W243" s="6"/>
    </row>
    <row r="244" spans="1:23" x14ac:dyDescent="0.3">
      <c r="A244" s="3" t="s">
        <v>368</v>
      </c>
      <c r="B244" s="6" t="s">
        <v>321</v>
      </c>
      <c r="C244" s="5">
        <v>8099389567</v>
      </c>
      <c r="D244" s="5">
        <v>387736390</v>
      </c>
      <c r="E244" s="6" t="s">
        <v>64</v>
      </c>
      <c r="F244" s="6" t="s">
        <v>31</v>
      </c>
      <c r="G244" s="6">
        <v>1000000016</v>
      </c>
      <c r="H244" s="6" t="s">
        <v>322</v>
      </c>
      <c r="I244" s="6">
        <f>IF(SalesData[[#This Row],[Status of Call]]="completed",1,0)</f>
        <v>0</v>
      </c>
      <c r="J244" s="6">
        <f>1</f>
        <v>1</v>
      </c>
      <c r="K244" s="6">
        <f>SalesData[[#This Row],[Completed calls]]/SalesData[[#This Row],[Total calls]]</f>
        <v>0</v>
      </c>
      <c r="L244" s="4">
        <f t="shared" si="13"/>
        <v>0</v>
      </c>
      <c r="M244" s="4">
        <f t="shared" si="12"/>
        <v>1</v>
      </c>
      <c r="N244" s="4">
        <f t="shared" si="14"/>
        <v>0</v>
      </c>
      <c r="O244" s="7">
        <v>46237</v>
      </c>
      <c r="P244" s="9">
        <v>46237.741284722222</v>
      </c>
      <c r="Q244" s="9">
        <v>46237.741666666669</v>
      </c>
      <c r="R244" s="6">
        <v>33</v>
      </c>
      <c r="S244" s="4">
        <f t="shared" si="15"/>
        <v>1</v>
      </c>
      <c r="T244" s="6">
        <v>0.4</v>
      </c>
      <c r="U244" s="6" t="s">
        <v>26</v>
      </c>
      <c r="V244" s="6" t="s">
        <v>26</v>
      </c>
      <c r="W244" s="6"/>
    </row>
    <row r="245" spans="1:23" x14ac:dyDescent="0.3">
      <c r="A245" s="3" t="s">
        <v>369</v>
      </c>
      <c r="B245" s="6" t="s">
        <v>321</v>
      </c>
      <c r="C245" s="5">
        <v>8099389567</v>
      </c>
      <c r="D245" s="5">
        <v>702191670</v>
      </c>
      <c r="E245" s="6" t="s">
        <v>195</v>
      </c>
      <c r="F245" s="6" t="s">
        <v>41</v>
      </c>
      <c r="G245" s="6">
        <v>1000000006</v>
      </c>
      <c r="H245" s="6" t="s">
        <v>32</v>
      </c>
      <c r="I245" s="6">
        <f>IF(SalesData[[#This Row],[Status of Call]]="completed",1,0)</f>
        <v>1</v>
      </c>
      <c r="J245" s="6">
        <f>1</f>
        <v>1</v>
      </c>
      <c r="K245" s="6">
        <f>SalesData[[#This Row],[Completed calls]]/SalesData[[#This Row],[Total calls]]</f>
        <v>1</v>
      </c>
      <c r="L245" s="4">
        <f t="shared" si="13"/>
        <v>0</v>
      </c>
      <c r="M245" s="4">
        <f t="shared" si="12"/>
        <v>1</v>
      </c>
      <c r="N245" s="4">
        <f t="shared" si="14"/>
        <v>0</v>
      </c>
      <c r="O245" s="7">
        <v>46237</v>
      </c>
      <c r="P245" s="9">
        <v>46237.74181712963</v>
      </c>
      <c r="Q245" s="9">
        <v>46237.744502314818</v>
      </c>
      <c r="R245" s="6">
        <v>232</v>
      </c>
      <c r="S245" s="4">
        <f t="shared" si="15"/>
        <v>0</v>
      </c>
      <c r="T245" s="6">
        <v>4.5999999999999996</v>
      </c>
      <c r="U245" s="6" t="s">
        <v>26</v>
      </c>
      <c r="V245" s="6" t="s">
        <v>109</v>
      </c>
      <c r="W245" s="6"/>
    </row>
    <row r="246" spans="1:23" x14ac:dyDescent="0.3">
      <c r="A246" s="3" t="s">
        <v>370</v>
      </c>
      <c r="B246" s="10" t="s">
        <v>321</v>
      </c>
      <c r="C246" s="5">
        <v>8099389567</v>
      </c>
      <c r="D246" s="5">
        <v>697631364</v>
      </c>
      <c r="E246" s="6" t="s">
        <v>47</v>
      </c>
      <c r="F246" s="10" t="s">
        <v>68</v>
      </c>
      <c r="G246" s="10">
        <v>1000000007</v>
      </c>
      <c r="H246" s="10" t="s">
        <v>32</v>
      </c>
      <c r="I246" s="10">
        <f>IF(SalesData[[#This Row],[Status of Call]]="completed",1,0)</f>
        <v>1</v>
      </c>
      <c r="J246" s="10">
        <f>1</f>
        <v>1</v>
      </c>
      <c r="K246" s="10">
        <f>SalesData[[#This Row],[Completed calls]]/SalesData[[#This Row],[Total calls]]</f>
        <v>1</v>
      </c>
      <c r="L246" s="4">
        <f t="shared" si="13"/>
        <v>0</v>
      </c>
      <c r="M246" s="4">
        <f t="shared" si="12"/>
        <v>1</v>
      </c>
      <c r="N246" s="4">
        <f t="shared" si="14"/>
        <v>0</v>
      </c>
      <c r="O246" s="7">
        <v>46236</v>
      </c>
      <c r="P246" s="9">
        <v>46236.391215277778</v>
      </c>
      <c r="Q246" s="9">
        <v>46236.39203703704</v>
      </c>
      <c r="R246" s="10">
        <v>71</v>
      </c>
      <c r="S246" s="4">
        <f t="shared" si="15"/>
        <v>0</v>
      </c>
      <c r="T246" s="10">
        <v>1.2</v>
      </c>
      <c r="U246" s="10" t="s">
        <v>26</v>
      </c>
      <c r="V246" s="10" t="s">
        <v>26</v>
      </c>
      <c r="W246" s="6"/>
    </row>
    <row r="247" spans="1:23" x14ac:dyDescent="0.3">
      <c r="A247" s="3" t="s">
        <v>371</v>
      </c>
      <c r="B247" s="6" t="s">
        <v>321</v>
      </c>
      <c r="C247" s="5">
        <v>8099389567</v>
      </c>
      <c r="D247" s="5">
        <v>890005453</v>
      </c>
      <c r="E247" s="6" t="s">
        <v>170</v>
      </c>
      <c r="F247" s="6" t="s">
        <v>28</v>
      </c>
      <c r="G247" s="6">
        <v>1000000009</v>
      </c>
      <c r="H247" s="6" t="s">
        <v>32</v>
      </c>
      <c r="I247" s="6">
        <f>IF(SalesData[[#This Row],[Status of Call]]="completed",1,0)</f>
        <v>1</v>
      </c>
      <c r="J247" s="6">
        <f>1</f>
        <v>1</v>
      </c>
      <c r="K247" s="6">
        <f>SalesData[[#This Row],[Completed calls]]/SalesData[[#This Row],[Total calls]]</f>
        <v>1</v>
      </c>
      <c r="L247" s="4">
        <f t="shared" si="13"/>
        <v>0</v>
      </c>
      <c r="M247" s="4">
        <f t="shared" si="12"/>
        <v>1</v>
      </c>
      <c r="N247" s="4">
        <f t="shared" si="14"/>
        <v>0</v>
      </c>
      <c r="O247" s="7">
        <v>46237</v>
      </c>
      <c r="P247" s="9">
        <v>46237.74559027778</v>
      </c>
      <c r="Q247" s="9">
        <v>46237.745833333334</v>
      </c>
      <c r="R247" s="6">
        <v>21</v>
      </c>
      <c r="S247" s="4">
        <f t="shared" si="15"/>
        <v>0</v>
      </c>
      <c r="T247" s="6">
        <v>1.1499999999999999</v>
      </c>
      <c r="U247" s="6" t="s">
        <v>26</v>
      </c>
      <c r="V247" s="6" t="s">
        <v>25</v>
      </c>
      <c r="W247" s="6"/>
    </row>
    <row r="248" spans="1:23" x14ac:dyDescent="0.3">
      <c r="A248" s="3" t="s">
        <v>372</v>
      </c>
      <c r="B248" s="6" t="s">
        <v>321</v>
      </c>
      <c r="C248" s="5">
        <v>8099389567</v>
      </c>
      <c r="D248" s="5">
        <v>489867317</v>
      </c>
      <c r="E248" s="6" t="s">
        <v>145</v>
      </c>
      <c r="F248" s="6" t="s">
        <v>152</v>
      </c>
      <c r="G248" s="6">
        <v>1000000036</v>
      </c>
      <c r="H248" s="6" t="s">
        <v>322</v>
      </c>
      <c r="I248" s="6">
        <f>IF(SalesData[[#This Row],[Status of Call]]="completed",1,0)</f>
        <v>0</v>
      </c>
      <c r="J248" s="6">
        <f>1</f>
        <v>1</v>
      </c>
      <c r="K248" s="6">
        <f>SalesData[[#This Row],[Completed calls]]/SalesData[[#This Row],[Total calls]]</f>
        <v>0</v>
      </c>
      <c r="L248" s="4">
        <f t="shared" si="13"/>
        <v>0</v>
      </c>
      <c r="M248" s="4">
        <f t="shared" si="12"/>
        <v>1</v>
      </c>
      <c r="N248" s="4">
        <f t="shared" si="14"/>
        <v>0</v>
      </c>
      <c r="O248" s="7">
        <v>46237</v>
      </c>
      <c r="P248" s="9">
        <v>46237.746782407405</v>
      </c>
      <c r="Q248" s="9">
        <v>46237.746990740743</v>
      </c>
      <c r="R248" s="6">
        <v>19</v>
      </c>
      <c r="S248" s="4">
        <f t="shared" si="15"/>
        <v>1</v>
      </c>
      <c r="T248" s="6">
        <v>0.4</v>
      </c>
      <c r="U248" s="6" t="s">
        <v>26</v>
      </c>
      <c r="V248" s="6" t="s">
        <v>142</v>
      </c>
      <c r="W248" s="6"/>
    </row>
    <row r="249" spans="1:23" x14ac:dyDescent="0.3">
      <c r="A249" s="3" t="s">
        <v>373</v>
      </c>
      <c r="B249" s="6" t="s">
        <v>321</v>
      </c>
      <c r="C249" s="5">
        <v>8099389567</v>
      </c>
      <c r="D249" s="5">
        <v>148930854</v>
      </c>
      <c r="E249" s="6" t="s">
        <v>64</v>
      </c>
      <c r="F249" s="6" t="s">
        <v>35</v>
      </c>
      <c r="G249" s="6">
        <v>1000000017</v>
      </c>
      <c r="H249" s="6" t="s">
        <v>332</v>
      </c>
      <c r="I249" s="6">
        <f>IF(SalesData[[#This Row],[Status of Call]]="completed",1,0)</f>
        <v>0</v>
      </c>
      <c r="J249" s="6">
        <f>1</f>
        <v>1</v>
      </c>
      <c r="K249" s="6">
        <f>SalesData[[#This Row],[Completed calls]]/SalesData[[#This Row],[Total calls]]</f>
        <v>0</v>
      </c>
      <c r="L249" s="4">
        <f t="shared" si="13"/>
        <v>0</v>
      </c>
      <c r="M249" s="4">
        <f t="shared" si="12"/>
        <v>1</v>
      </c>
      <c r="N249" s="4">
        <f t="shared" si="14"/>
        <v>0</v>
      </c>
      <c r="O249" s="7">
        <v>46237</v>
      </c>
      <c r="P249" s="9">
        <v>46237.747523148151</v>
      </c>
      <c r="Q249" s="9">
        <v>46237.748020833336</v>
      </c>
      <c r="R249" s="6">
        <v>44</v>
      </c>
      <c r="S249" s="4">
        <f t="shared" si="15"/>
        <v>1</v>
      </c>
      <c r="T249" s="6">
        <v>0.4</v>
      </c>
      <c r="U249" s="6" t="s">
        <v>26</v>
      </c>
      <c r="V249" s="6" t="s">
        <v>206</v>
      </c>
      <c r="W249" s="6"/>
    </row>
    <row r="250" spans="1:23" x14ac:dyDescent="0.3">
      <c r="A250" s="3" t="s">
        <v>374</v>
      </c>
      <c r="B250" s="6" t="s">
        <v>321</v>
      </c>
      <c r="C250" s="5">
        <v>8099389567</v>
      </c>
      <c r="D250" s="5">
        <v>378073936</v>
      </c>
      <c r="E250" s="6" t="s">
        <v>104</v>
      </c>
      <c r="F250" s="6" t="s">
        <v>56</v>
      </c>
      <c r="G250" s="6">
        <v>1000000034</v>
      </c>
      <c r="H250" s="6" t="s">
        <v>32</v>
      </c>
      <c r="I250" s="6">
        <f>IF(SalesData[[#This Row],[Status of Call]]="completed",1,0)</f>
        <v>1</v>
      </c>
      <c r="J250" s="6">
        <f>1</f>
        <v>1</v>
      </c>
      <c r="K250" s="6">
        <f>SalesData[[#This Row],[Completed calls]]/SalesData[[#This Row],[Total calls]]</f>
        <v>1</v>
      </c>
      <c r="L250" s="4">
        <f t="shared" si="13"/>
        <v>0</v>
      </c>
      <c r="M250" s="4">
        <f t="shared" si="12"/>
        <v>1</v>
      </c>
      <c r="N250" s="4">
        <f t="shared" si="14"/>
        <v>0</v>
      </c>
      <c r="O250" s="7">
        <v>46237</v>
      </c>
      <c r="P250" s="9">
        <v>46237.748078703706</v>
      </c>
      <c r="Q250" s="9">
        <v>46237.748831018522</v>
      </c>
      <c r="R250" s="6">
        <v>65</v>
      </c>
      <c r="S250" s="4">
        <f t="shared" si="15"/>
        <v>0</v>
      </c>
      <c r="T250" s="6">
        <v>1.55</v>
      </c>
      <c r="U250" s="6" t="s">
        <v>26</v>
      </c>
      <c r="V250" s="6" t="s">
        <v>142</v>
      </c>
      <c r="W250" s="6"/>
    </row>
    <row r="251" spans="1:23" x14ac:dyDescent="0.3">
      <c r="A251" s="3" t="s">
        <v>375</v>
      </c>
      <c r="B251" s="6" t="s">
        <v>321</v>
      </c>
      <c r="C251" s="5">
        <v>8099389567</v>
      </c>
      <c r="D251" s="5">
        <v>490194034</v>
      </c>
      <c r="E251" s="6" t="s">
        <v>97</v>
      </c>
      <c r="F251" s="6" t="s">
        <v>38</v>
      </c>
      <c r="G251" s="6">
        <v>1000000028</v>
      </c>
      <c r="H251" s="6" t="s">
        <v>32</v>
      </c>
      <c r="I251" s="6">
        <f>IF(SalesData[[#This Row],[Status of Call]]="completed",1,0)</f>
        <v>1</v>
      </c>
      <c r="J251" s="6">
        <f>1</f>
        <v>1</v>
      </c>
      <c r="K251" s="6">
        <f>SalesData[[#This Row],[Completed calls]]/SalesData[[#This Row],[Total calls]]</f>
        <v>1</v>
      </c>
      <c r="L251" s="4">
        <f t="shared" si="13"/>
        <v>0</v>
      </c>
      <c r="M251" s="4">
        <f t="shared" si="12"/>
        <v>1</v>
      </c>
      <c r="N251" s="4">
        <f t="shared" si="14"/>
        <v>0</v>
      </c>
      <c r="O251" s="7">
        <v>46237</v>
      </c>
      <c r="P251" s="9">
        <v>46237.749074074076</v>
      </c>
      <c r="Q251" s="9">
        <v>46237.749710648146</v>
      </c>
      <c r="R251" s="6">
        <v>53</v>
      </c>
      <c r="S251" s="4">
        <f t="shared" si="15"/>
        <v>0</v>
      </c>
      <c r="T251" s="6">
        <v>1.1499999999999999</v>
      </c>
      <c r="U251" s="6" t="s">
        <v>26</v>
      </c>
      <c r="V251" s="6" t="s">
        <v>142</v>
      </c>
      <c r="W251" s="6"/>
    </row>
    <row r="252" spans="1:23" x14ac:dyDescent="0.3">
      <c r="A252" s="3" t="s">
        <v>376</v>
      </c>
      <c r="B252" s="6" t="s">
        <v>321</v>
      </c>
      <c r="C252" s="5">
        <v>8099389567</v>
      </c>
      <c r="D252" s="5">
        <v>11665090</v>
      </c>
      <c r="E252" s="6" t="s">
        <v>37</v>
      </c>
      <c r="F252" s="6" t="s">
        <v>23</v>
      </c>
      <c r="G252" s="6">
        <v>1000000014</v>
      </c>
      <c r="H252" s="6" t="s">
        <v>332</v>
      </c>
      <c r="I252" s="6">
        <f>IF(SalesData[[#This Row],[Status of Call]]="completed",1,0)</f>
        <v>0</v>
      </c>
      <c r="J252" s="6">
        <f>1</f>
        <v>1</v>
      </c>
      <c r="K252" s="6">
        <f>SalesData[[#This Row],[Completed calls]]/SalesData[[#This Row],[Total calls]]</f>
        <v>0</v>
      </c>
      <c r="L252" s="4">
        <f t="shared" si="13"/>
        <v>0</v>
      </c>
      <c r="M252" s="4">
        <f t="shared" si="12"/>
        <v>1</v>
      </c>
      <c r="N252" s="4">
        <f t="shared" si="14"/>
        <v>0</v>
      </c>
      <c r="O252" s="7">
        <v>46237</v>
      </c>
      <c r="P252" s="9">
        <v>46237.750324074077</v>
      </c>
      <c r="Q252" s="9">
        <v>46237.750787037039</v>
      </c>
      <c r="R252" s="6">
        <v>40</v>
      </c>
      <c r="S252" s="4">
        <f t="shared" si="15"/>
        <v>1</v>
      </c>
      <c r="T252" s="6">
        <v>0.4</v>
      </c>
      <c r="U252" s="6" t="s">
        <v>26</v>
      </c>
      <c r="V252" s="6" t="s">
        <v>142</v>
      </c>
      <c r="W252" s="6"/>
    </row>
    <row r="253" spans="1:23" x14ac:dyDescent="0.3">
      <c r="A253" s="3" t="s">
        <v>377</v>
      </c>
      <c r="B253" s="6" t="s">
        <v>321</v>
      </c>
      <c r="C253" s="5">
        <v>8099389567</v>
      </c>
      <c r="D253" s="5">
        <v>989201711</v>
      </c>
      <c r="E253" s="6" t="s">
        <v>195</v>
      </c>
      <c r="F253" s="6" t="s">
        <v>107</v>
      </c>
      <c r="G253" s="6">
        <v>1000000035</v>
      </c>
      <c r="H253" s="6" t="s">
        <v>332</v>
      </c>
      <c r="I253" s="6">
        <f>IF(SalesData[[#This Row],[Status of Call]]="completed",1,0)</f>
        <v>0</v>
      </c>
      <c r="J253" s="6">
        <f>1</f>
        <v>1</v>
      </c>
      <c r="K253" s="6">
        <f>SalesData[[#This Row],[Completed calls]]/SalesData[[#This Row],[Total calls]]</f>
        <v>0</v>
      </c>
      <c r="L253" s="4">
        <f t="shared" si="13"/>
        <v>0</v>
      </c>
      <c r="M253" s="4">
        <f t="shared" si="12"/>
        <v>1</v>
      </c>
      <c r="N253" s="4">
        <f t="shared" si="14"/>
        <v>0</v>
      </c>
      <c r="O253" s="7">
        <v>46237</v>
      </c>
      <c r="P253" s="9">
        <v>46237.752951388888</v>
      </c>
      <c r="Q253" s="9">
        <v>46237.753460648149</v>
      </c>
      <c r="R253" s="6">
        <v>42</v>
      </c>
      <c r="S253" s="4">
        <f t="shared" si="15"/>
        <v>1</v>
      </c>
      <c r="T253" s="6">
        <v>0.4</v>
      </c>
      <c r="U253" s="6" t="s">
        <v>26</v>
      </c>
      <c r="V253" s="6" t="s">
        <v>109</v>
      </c>
      <c r="W253" s="6"/>
    </row>
    <row r="254" spans="1:23" x14ac:dyDescent="0.3">
      <c r="A254" s="3" t="s">
        <v>378</v>
      </c>
      <c r="B254" s="6" t="s">
        <v>321</v>
      </c>
      <c r="C254" s="5">
        <v>8099389567</v>
      </c>
      <c r="D254" s="5">
        <v>617595776</v>
      </c>
      <c r="E254" s="6" t="s">
        <v>197</v>
      </c>
      <c r="F254" s="6" t="s">
        <v>98</v>
      </c>
      <c r="G254" s="6">
        <v>1000000015</v>
      </c>
      <c r="H254" s="6" t="s">
        <v>32</v>
      </c>
      <c r="I254" s="6">
        <f>IF(SalesData[[#This Row],[Status of Call]]="completed",1,0)</f>
        <v>1</v>
      </c>
      <c r="J254" s="6">
        <f>1</f>
        <v>1</v>
      </c>
      <c r="K254" s="6">
        <f>SalesData[[#This Row],[Completed calls]]/SalesData[[#This Row],[Total calls]]</f>
        <v>1</v>
      </c>
      <c r="L254" s="4">
        <f t="shared" si="13"/>
        <v>0</v>
      </c>
      <c r="M254" s="4">
        <f t="shared" si="12"/>
        <v>1</v>
      </c>
      <c r="N254" s="4">
        <f t="shared" si="14"/>
        <v>0</v>
      </c>
      <c r="O254" s="7">
        <v>46238</v>
      </c>
      <c r="P254" s="9">
        <v>46238.509351851855</v>
      </c>
      <c r="Q254" s="9">
        <v>46238.509606481479</v>
      </c>
      <c r="R254" s="6">
        <v>21</v>
      </c>
      <c r="S254" s="4">
        <f t="shared" si="15"/>
        <v>0</v>
      </c>
      <c r="T254" s="6">
        <v>1.1499999999999999</v>
      </c>
      <c r="U254" s="6" t="s">
        <v>26</v>
      </c>
      <c r="V254" s="6" t="s">
        <v>206</v>
      </c>
      <c r="W254" s="6"/>
    </row>
    <row r="255" spans="1:23" x14ac:dyDescent="0.3">
      <c r="A255" s="3" t="s">
        <v>379</v>
      </c>
      <c r="B255" s="6" t="s">
        <v>321</v>
      </c>
      <c r="C255" s="5">
        <v>8099389567</v>
      </c>
      <c r="D255" s="5">
        <v>498924552</v>
      </c>
      <c r="E255" s="6" t="s">
        <v>104</v>
      </c>
      <c r="F255" s="6" t="s">
        <v>71</v>
      </c>
      <c r="G255" s="6">
        <v>1000000022</v>
      </c>
      <c r="H255" s="6" t="s">
        <v>322</v>
      </c>
      <c r="I255" s="6">
        <f>IF(SalesData[[#This Row],[Status of Call]]="completed",1,0)</f>
        <v>0</v>
      </c>
      <c r="J255" s="6">
        <f>1</f>
        <v>1</v>
      </c>
      <c r="K255" s="6">
        <f>SalesData[[#This Row],[Completed calls]]/SalesData[[#This Row],[Total calls]]</f>
        <v>0</v>
      </c>
      <c r="L255" s="4">
        <f t="shared" si="13"/>
        <v>0</v>
      </c>
      <c r="M255" s="4">
        <f t="shared" si="12"/>
        <v>1</v>
      </c>
      <c r="N255" s="4">
        <f t="shared" si="14"/>
        <v>0</v>
      </c>
      <c r="O255" s="7">
        <v>46238</v>
      </c>
      <c r="P255" s="9">
        <v>46238.548298611109</v>
      </c>
      <c r="Q255" s="9">
        <v>46238.548657407409</v>
      </c>
      <c r="R255" s="6">
        <v>31</v>
      </c>
      <c r="S255" s="4">
        <f t="shared" si="15"/>
        <v>1</v>
      </c>
      <c r="T255" s="6">
        <v>0.4</v>
      </c>
      <c r="U255" s="6" t="s">
        <v>26</v>
      </c>
      <c r="V255" s="6" t="s">
        <v>183</v>
      </c>
      <c r="W255" s="6"/>
    </row>
    <row r="256" spans="1:23" x14ac:dyDescent="0.3">
      <c r="A256" s="3" t="s">
        <v>380</v>
      </c>
      <c r="B256" s="6" t="s">
        <v>321</v>
      </c>
      <c r="C256" s="5">
        <v>8099389567</v>
      </c>
      <c r="D256" s="5">
        <v>593329944</v>
      </c>
      <c r="E256" s="6" t="s">
        <v>197</v>
      </c>
      <c r="F256" s="6" t="s">
        <v>47</v>
      </c>
      <c r="G256" s="6">
        <v>1000000005</v>
      </c>
      <c r="H256" s="6" t="s">
        <v>332</v>
      </c>
      <c r="I256" s="6">
        <f>IF(SalesData[[#This Row],[Status of Call]]="completed",1,0)</f>
        <v>0</v>
      </c>
      <c r="J256" s="6">
        <f>1</f>
        <v>1</v>
      </c>
      <c r="K256" s="6">
        <f>SalesData[[#This Row],[Completed calls]]/SalesData[[#This Row],[Total calls]]</f>
        <v>0</v>
      </c>
      <c r="L256" s="4">
        <f t="shared" si="13"/>
        <v>0</v>
      </c>
      <c r="M256" s="4">
        <f t="shared" si="12"/>
        <v>1</v>
      </c>
      <c r="N256" s="4">
        <f t="shared" si="14"/>
        <v>0</v>
      </c>
      <c r="O256" s="7">
        <v>46238</v>
      </c>
      <c r="P256" s="9">
        <v>46238.551747685182</v>
      </c>
      <c r="Q256" s="9">
        <v>46238.552256944444</v>
      </c>
      <c r="R256" s="6">
        <v>43</v>
      </c>
      <c r="S256" s="4">
        <f t="shared" si="15"/>
        <v>1</v>
      </c>
      <c r="T256" s="6">
        <v>0.4</v>
      </c>
      <c r="U256" s="6" t="s">
        <v>26</v>
      </c>
      <c r="V256" s="6" t="s">
        <v>381</v>
      </c>
      <c r="W256" s="6"/>
    </row>
    <row r="257" spans="1:23" x14ac:dyDescent="0.3">
      <c r="A257" s="3" t="s">
        <v>382</v>
      </c>
      <c r="B257" s="10" t="s">
        <v>321</v>
      </c>
      <c r="C257" s="5">
        <v>8099389567</v>
      </c>
      <c r="D257" s="5">
        <v>489212279</v>
      </c>
      <c r="E257" s="6" t="s">
        <v>84</v>
      </c>
      <c r="F257" s="10" t="s">
        <v>38</v>
      </c>
      <c r="G257" s="10">
        <v>1000000028</v>
      </c>
      <c r="H257" s="10" t="s">
        <v>32</v>
      </c>
      <c r="I257" s="10">
        <f>IF(SalesData[[#This Row],[Status of Call]]="completed",1,0)</f>
        <v>1</v>
      </c>
      <c r="J257" s="10">
        <f>1</f>
        <v>1</v>
      </c>
      <c r="K257" s="10">
        <f>SalesData[[#This Row],[Completed calls]]/SalesData[[#This Row],[Total calls]]</f>
        <v>1</v>
      </c>
      <c r="L257" s="4">
        <f t="shared" si="13"/>
        <v>0</v>
      </c>
      <c r="M257" s="4">
        <f t="shared" si="12"/>
        <v>1</v>
      </c>
      <c r="N257" s="4">
        <f t="shared" si="14"/>
        <v>0</v>
      </c>
      <c r="O257" s="7">
        <v>46236</v>
      </c>
      <c r="P257" s="9">
        <v>46236.431817129633</v>
      </c>
      <c r="Q257" s="9">
        <v>46236.432233796295</v>
      </c>
      <c r="R257" s="10">
        <v>36</v>
      </c>
      <c r="S257" s="4">
        <f t="shared" si="15"/>
        <v>0</v>
      </c>
      <c r="T257" s="10">
        <v>1.1499999999999999</v>
      </c>
      <c r="U257" s="10" t="s">
        <v>26</v>
      </c>
      <c r="V257" s="10" t="s">
        <v>206</v>
      </c>
      <c r="W257" s="6"/>
    </row>
    <row r="258" spans="1:23" x14ac:dyDescent="0.3">
      <c r="A258" s="3" t="s">
        <v>383</v>
      </c>
      <c r="B258" s="6" t="s">
        <v>321</v>
      </c>
      <c r="C258" s="5">
        <v>8099389567</v>
      </c>
      <c r="D258" s="5">
        <v>36135060</v>
      </c>
      <c r="E258" s="6" t="s">
        <v>66</v>
      </c>
      <c r="F258" s="6" t="s">
        <v>31</v>
      </c>
      <c r="G258" s="6">
        <v>1000000016</v>
      </c>
      <c r="H258" s="6" t="s">
        <v>332</v>
      </c>
      <c r="I258" s="6">
        <f>IF(SalesData[[#This Row],[Status of Call]]="completed",1,0)</f>
        <v>0</v>
      </c>
      <c r="J258" s="6">
        <f>1</f>
        <v>1</v>
      </c>
      <c r="K258" s="6">
        <f>SalesData[[#This Row],[Completed calls]]/SalesData[[#This Row],[Total calls]]</f>
        <v>0</v>
      </c>
      <c r="L258" s="4">
        <f t="shared" si="13"/>
        <v>0</v>
      </c>
      <c r="M258" s="4">
        <f t="shared" ref="M258:M321" si="16">IF(B258="Outgoing",1,0)</f>
        <v>1</v>
      </c>
      <c r="N258" s="4">
        <f t="shared" si="14"/>
        <v>0</v>
      </c>
      <c r="O258" s="7">
        <v>46238</v>
      </c>
      <c r="P258" s="9">
        <v>46238.582881944443</v>
      </c>
      <c r="Q258" s="9">
        <v>46238.583379629628</v>
      </c>
      <c r="R258" s="6">
        <v>44</v>
      </c>
      <c r="S258" s="4">
        <f t="shared" si="15"/>
        <v>1</v>
      </c>
      <c r="T258" s="6">
        <v>0.4</v>
      </c>
      <c r="U258" s="6" t="s">
        <v>26</v>
      </c>
      <c r="V258" s="6" t="s">
        <v>26</v>
      </c>
      <c r="W258" s="6"/>
    </row>
    <row r="259" spans="1:23" x14ac:dyDescent="0.3">
      <c r="A259" s="3" t="s">
        <v>384</v>
      </c>
      <c r="B259" s="6" t="s">
        <v>321</v>
      </c>
      <c r="C259" s="5">
        <v>8099389567</v>
      </c>
      <c r="D259" s="5">
        <v>856391389</v>
      </c>
      <c r="E259" s="6" t="s">
        <v>127</v>
      </c>
      <c r="F259" s="6" t="s">
        <v>61</v>
      </c>
      <c r="G259" s="6">
        <v>1000000018</v>
      </c>
      <c r="H259" s="6" t="s">
        <v>32</v>
      </c>
      <c r="I259" s="6">
        <f>IF(SalesData[[#This Row],[Status of Call]]="completed",1,0)</f>
        <v>1</v>
      </c>
      <c r="J259" s="6">
        <f>1</f>
        <v>1</v>
      </c>
      <c r="K259" s="6">
        <f>SalesData[[#This Row],[Completed calls]]/SalesData[[#This Row],[Total calls]]</f>
        <v>1</v>
      </c>
      <c r="L259" s="4">
        <f t="shared" ref="L259:L322" si="17">IF(B259="incoming",1,0)</f>
        <v>0</v>
      </c>
      <c r="M259" s="4">
        <f t="shared" si="16"/>
        <v>1</v>
      </c>
      <c r="N259" s="4">
        <f t="shared" ref="N259:N322" si="18">IF(AND(B259="Incoming",H259="Completed"),1,0)</f>
        <v>0</v>
      </c>
      <c r="O259" s="7">
        <v>46238</v>
      </c>
      <c r="P259" s="9">
        <v>46238.585428240738</v>
      </c>
      <c r="Q259" s="9">
        <v>46238.586319444446</v>
      </c>
      <c r="R259" s="6">
        <v>78</v>
      </c>
      <c r="S259" s="4">
        <f t="shared" ref="S259:S322" si="19">IF(OR(H259="failed",H259="no-answer",H259="missed-call"),1,0)</f>
        <v>0</v>
      </c>
      <c r="T259" s="6">
        <v>1.55</v>
      </c>
      <c r="U259" s="6" t="s">
        <v>26</v>
      </c>
      <c r="V259" s="6" t="s">
        <v>385</v>
      </c>
      <c r="W259" s="6"/>
    </row>
    <row r="260" spans="1:23" x14ac:dyDescent="0.3">
      <c r="A260" s="3" t="s">
        <v>386</v>
      </c>
      <c r="B260" s="6" t="s">
        <v>321</v>
      </c>
      <c r="C260" s="5">
        <v>8099389567</v>
      </c>
      <c r="D260" s="5">
        <v>924940737</v>
      </c>
      <c r="E260" s="6" t="s">
        <v>47</v>
      </c>
      <c r="F260" s="6" t="s">
        <v>117</v>
      </c>
      <c r="G260" s="6">
        <v>1000000032</v>
      </c>
      <c r="H260" s="6" t="s">
        <v>32</v>
      </c>
      <c r="I260" s="6">
        <f>IF(SalesData[[#This Row],[Status of Call]]="completed",1,0)</f>
        <v>1</v>
      </c>
      <c r="J260" s="6">
        <f>1</f>
        <v>1</v>
      </c>
      <c r="K260" s="6">
        <f>SalesData[[#This Row],[Completed calls]]/SalesData[[#This Row],[Total calls]]</f>
        <v>1</v>
      </c>
      <c r="L260" s="4">
        <f t="shared" si="17"/>
        <v>0</v>
      </c>
      <c r="M260" s="4">
        <f t="shared" si="16"/>
        <v>1</v>
      </c>
      <c r="N260" s="4">
        <f t="shared" si="18"/>
        <v>0</v>
      </c>
      <c r="O260" s="7">
        <v>46238</v>
      </c>
      <c r="P260" s="9">
        <v>46238.595347222225</v>
      </c>
      <c r="Q260" s="9">
        <v>46238.597986111112</v>
      </c>
      <c r="R260" s="6">
        <v>228</v>
      </c>
      <c r="S260" s="4">
        <f t="shared" si="19"/>
        <v>0</v>
      </c>
      <c r="T260" s="6">
        <v>4.5999999999999996</v>
      </c>
      <c r="U260" s="6" t="s">
        <v>26</v>
      </c>
      <c r="V260" s="6" t="s">
        <v>163</v>
      </c>
      <c r="W260" s="6"/>
    </row>
    <row r="261" spans="1:23" x14ac:dyDescent="0.3">
      <c r="A261" s="3" t="s">
        <v>387</v>
      </c>
      <c r="B261" s="6" t="s">
        <v>321</v>
      </c>
      <c r="C261" s="5">
        <v>8099389567</v>
      </c>
      <c r="D261" s="5">
        <v>970509431</v>
      </c>
      <c r="E261" s="6" t="s">
        <v>84</v>
      </c>
      <c r="F261" s="6" t="s">
        <v>28</v>
      </c>
      <c r="G261" s="6">
        <v>1000000009</v>
      </c>
      <c r="H261" s="6" t="s">
        <v>332</v>
      </c>
      <c r="I261" s="6">
        <f>IF(SalesData[[#This Row],[Status of Call]]="completed",1,0)</f>
        <v>0</v>
      </c>
      <c r="J261" s="6">
        <f>1</f>
        <v>1</v>
      </c>
      <c r="K261" s="6">
        <f>SalesData[[#This Row],[Completed calls]]/SalesData[[#This Row],[Total calls]]</f>
        <v>0</v>
      </c>
      <c r="L261" s="4">
        <f t="shared" si="17"/>
        <v>0</v>
      </c>
      <c r="M261" s="4">
        <f t="shared" si="16"/>
        <v>1</v>
      </c>
      <c r="N261" s="4">
        <f t="shared" si="18"/>
        <v>0</v>
      </c>
      <c r="O261" s="7">
        <v>46238</v>
      </c>
      <c r="P261" s="9">
        <v>46238.631284722222</v>
      </c>
      <c r="Q261" s="9">
        <v>46238.63175925926</v>
      </c>
      <c r="R261" s="6">
        <v>40</v>
      </c>
      <c r="S261" s="4">
        <f t="shared" si="19"/>
        <v>1</v>
      </c>
      <c r="T261" s="6">
        <v>0.4</v>
      </c>
      <c r="U261" s="6" t="s">
        <v>26</v>
      </c>
      <c r="V261" s="6" t="s">
        <v>199</v>
      </c>
      <c r="W261" s="6"/>
    </row>
    <row r="262" spans="1:23" x14ac:dyDescent="0.3">
      <c r="A262" s="3" t="s">
        <v>388</v>
      </c>
      <c r="B262" s="6" t="s">
        <v>321</v>
      </c>
      <c r="C262" s="5">
        <v>8099389567</v>
      </c>
      <c r="D262" s="5">
        <v>505662702</v>
      </c>
      <c r="E262" s="6" t="s">
        <v>70</v>
      </c>
      <c r="F262" s="6" t="s">
        <v>114</v>
      </c>
      <c r="G262" s="6">
        <v>1000000037</v>
      </c>
      <c r="H262" s="6" t="s">
        <v>332</v>
      </c>
      <c r="I262" s="6">
        <f>IF(SalesData[[#This Row],[Status of Call]]="completed",1,0)</f>
        <v>0</v>
      </c>
      <c r="J262" s="6">
        <f>1</f>
        <v>1</v>
      </c>
      <c r="K262" s="6">
        <f>SalesData[[#This Row],[Completed calls]]/SalesData[[#This Row],[Total calls]]</f>
        <v>0</v>
      </c>
      <c r="L262" s="4">
        <f t="shared" si="17"/>
        <v>0</v>
      </c>
      <c r="M262" s="4">
        <f t="shared" si="16"/>
        <v>1</v>
      </c>
      <c r="N262" s="4">
        <f t="shared" si="18"/>
        <v>0</v>
      </c>
      <c r="O262" s="7">
        <v>46238</v>
      </c>
      <c r="P262" s="9">
        <v>46238.634895833333</v>
      </c>
      <c r="Q262" s="9">
        <v>46238.635324074072</v>
      </c>
      <c r="R262" s="6">
        <v>37</v>
      </c>
      <c r="S262" s="4">
        <f t="shared" si="19"/>
        <v>1</v>
      </c>
      <c r="T262" s="6">
        <v>0.4</v>
      </c>
      <c r="U262" s="6" t="s">
        <v>26</v>
      </c>
      <c r="V262" s="6" t="s">
        <v>26</v>
      </c>
      <c r="W262" s="6"/>
    </row>
    <row r="263" spans="1:23" x14ac:dyDescent="0.3">
      <c r="A263" s="3" t="s">
        <v>389</v>
      </c>
      <c r="B263" s="6" t="s">
        <v>321</v>
      </c>
      <c r="C263" s="5">
        <v>8099389567</v>
      </c>
      <c r="D263" s="5">
        <v>911306496</v>
      </c>
      <c r="E263" s="6" t="s">
        <v>89</v>
      </c>
      <c r="F263" s="6" t="s">
        <v>114</v>
      </c>
      <c r="G263" s="6">
        <v>1000000037</v>
      </c>
      <c r="H263" s="6" t="s">
        <v>332</v>
      </c>
      <c r="I263" s="6">
        <f>IF(SalesData[[#This Row],[Status of Call]]="completed",1,0)</f>
        <v>0</v>
      </c>
      <c r="J263" s="6">
        <f>1</f>
        <v>1</v>
      </c>
      <c r="K263" s="6">
        <f>SalesData[[#This Row],[Completed calls]]/SalesData[[#This Row],[Total calls]]</f>
        <v>0</v>
      </c>
      <c r="L263" s="4">
        <f t="shared" si="17"/>
        <v>0</v>
      </c>
      <c r="M263" s="4">
        <f t="shared" si="16"/>
        <v>1</v>
      </c>
      <c r="N263" s="4">
        <f t="shared" si="18"/>
        <v>0</v>
      </c>
      <c r="O263" s="7">
        <v>46238</v>
      </c>
      <c r="P263" s="9">
        <v>46238.669710648152</v>
      </c>
      <c r="Q263" s="9">
        <v>46238.670185185183</v>
      </c>
      <c r="R263" s="6">
        <v>42</v>
      </c>
      <c r="S263" s="4">
        <f t="shared" si="19"/>
        <v>1</v>
      </c>
      <c r="T263" s="6">
        <v>0.4</v>
      </c>
      <c r="U263" s="6" t="s">
        <v>26</v>
      </c>
      <c r="V263" s="6" t="s">
        <v>26</v>
      </c>
      <c r="W263" s="6"/>
    </row>
    <row r="264" spans="1:23" x14ac:dyDescent="0.3">
      <c r="A264" s="3" t="s">
        <v>390</v>
      </c>
      <c r="B264" s="6" t="s">
        <v>321</v>
      </c>
      <c r="C264" s="5">
        <v>8099389567</v>
      </c>
      <c r="D264" s="5">
        <v>313437164</v>
      </c>
      <c r="E264" s="6" t="s">
        <v>121</v>
      </c>
      <c r="F264" s="6" t="s">
        <v>31</v>
      </c>
      <c r="G264" s="6">
        <v>1000000016</v>
      </c>
      <c r="H264" s="6" t="s">
        <v>322</v>
      </c>
      <c r="I264" s="6">
        <f>IF(SalesData[[#This Row],[Status of Call]]="completed",1,0)</f>
        <v>0</v>
      </c>
      <c r="J264" s="6">
        <f>1</f>
        <v>1</v>
      </c>
      <c r="K264" s="6">
        <f>SalesData[[#This Row],[Completed calls]]/SalesData[[#This Row],[Total calls]]</f>
        <v>0</v>
      </c>
      <c r="L264" s="4">
        <f t="shared" si="17"/>
        <v>0</v>
      </c>
      <c r="M264" s="4">
        <f t="shared" si="16"/>
        <v>1</v>
      </c>
      <c r="N264" s="4">
        <f t="shared" si="18"/>
        <v>0</v>
      </c>
      <c r="O264" s="7">
        <v>46238</v>
      </c>
      <c r="P264" s="9">
        <v>46238.671203703707</v>
      </c>
      <c r="Q264" s="9">
        <v>46238.671423611115</v>
      </c>
      <c r="R264" s="6">
        <v>16</v>
      </c>
      <c r="S264" s="4">
        <f t="shared" si="19"/>
        <v>1</v>
      </c>
      <c r="T264" s="6">
        <v>0.4</v>
      </c>
      <c r="U264" s="6" t="s">
        <v>26</v>
      </c>
      <c r="V264" s="6" t="s">
        <v>206</v>
      </c>
      <c r="W264" s="6"/>
    </row>
    <row r="265" spans="1:23" x14ac:dyDescent="0.3">
      <c r="A265" s="3" t="s">
        <v>391</v>
      </c>
      <c r="B265" s="10" t="s">
        <v>321</v>
      </c>
      <c r="C265" s="5">
        <v>8099389567</v>
      </c>
      <c r="D265" s="5">
        <v>383626854</v>
      </c>
      <c r="E265" s="6" t="s">
        <v>60</v>
      </c>
      <c r="F265" s="10" t="s">
        <v>74</v>
      </c>
      <c r="G265" s="10">
        <v>1000000003</v>
      </c>
      <c r="H265" s="10" t="s">
        <v>332</v>
      </c>
      <c r="I265" s="10">
        <f>IF(SalesData[[#This Row],[Status of Call]]="completed",1,0)</f>
        <v>0</v>
      </c>
      <c r="J265" s="10">
        <f>1</f>
        <v>1</v>
      </c>
      <c r="K265" s="10">
        <f>SalesData[[#This Row],[Completed calls]]/SalesData[[#This Row],[Total calls]]</f>
        <v>0</v>
      </c>
      <c r="L265" s="4">
        <f t="shared" si="17"/>
        <v>0</v>
      </c>
      <c r="M265" s="4">
        <f t="shared" si="16"/>
        <v>1</v>
      </c>
      <c r="N265" s="4">
        <f t="shared" si="18"/>
        <v>0</v>
      </c>
      <c r="O265" s="7">
        <v>46236</v>
      </c>
      <c r="P265" s="9">
        <v>46236.436423611114</v>
      </c>
      <c r="Q265" s="9">
        <v>46236.436932870369</v>
      </c>
      <c r="R265" s="10">
        <v>44</v>
      </c>
      <c r="S265" s="4">
        <f t="shared" si="19"/>
        <v>1</v>
      </c>
      <c r="T265" s="10">
        <v>0.4</v>
      </c>
      <c r="U265" s="10" t="s">
        <v>26</v>
      </c>
      <c r="V265" s="10" t="s">
        <v>183</v>
      </c>
      <c r="W265" s="6"/>
    </row>
    <row r="266" spans="1:23" x14ac:dyDescent="0.3">
      <c r="A266" s="3" t="s">
        <v>392</v>
      </c>
      <c r="B266" s="6" t="s">
        <v>321</v>
      </c>
      <c r="C266" s="5">
        <v>8099389567</v>
      </c>
      <c r="D266" s="5">
        <v>883526655</v>
      </c>
      <c r="E266" s="6" t="s">
        <v>97</v>
      </c>
      <c r="F266" s="6" t="s">
        <v>124</v>
      </c>
      <c r="G266" s="6">
        <v>1000000031</v>
      </c>
      <c r="H266" s="6" t="s">
        <v>332</v>
      </c>
      <c r="I266" s="6">
        <f>IF(SalesData[[#This Row],[Status of Call]]="completed",1,0)</f>
        <v>0</v>
      </c>
      <c r="J266" s="6">
        <f>1</f>
        <v>1</v>
      </c>
      <c r="K266" s="6">
        <f>SalesData[[#This Row],[Completed calls]]/SalesData[[#This Row],[Total calls]]</f>
        <v>0</v>
      </c>
      <c r="L266" s="4">
        <f t="shared" si="17"/>
        <v>0</v>
      </c>
      <c r="M266" s="4">
        <f t="shared" si="16"/>
        <v>1</v>
      </c>
      <c r="N266" s="4">
        <f t="shared" si="18"/>
        <v>0</v>
      </c>
      <c r="O266" s="7">
        <v>46238</v>
      </c>
      <c r="P266" s="9">
        <v>46238.672696759262</v>
      </c>
      <c r="Q266" s="9">
        <v>46238.673182870371</v>
      </c>
      <c r="R266" s="6">
        <v>41</v>
      </c>
      <c r="S266" s="4">
        <f t="shared" si="19"/>
        <v>1</v>
      </c>
      <c r="T266" s="6">
        <v>0.4</v>
      </c>
      <c r="U266" s="6" t="s">
        <v>26</v>
      </c>
      <c r="V266" s="6" t="s">
        <v>26</v>
      </c>
      <c r="W266" s="6"/>
    </row>
    <row r="267" spans="1:23" x14ac:dyDescent="0.3">
      <c r="A267" s="3" t="s">
        <v>393</v>
      </c>
      <c r="B267" s="6" t="s">
        <v>321</v>
      </c>
      <c r="C267" s="5">
        <v>8099389567</v>
      </c>
      <c r="D267" s="5">
        <v>897626354</v>
      </c>
      <c r="E267" s="6" t="s">
        <v>44</v>
      </c>
      <c r="F267" s="6" t="s">
        <v>192</v>
      </c>
      <c r="G267" s="6">
        <v>1000000027</v>
      </c>
      <c r="H267" s="6" t="s">
        <v>322</v>
      </c>
      <c r="I267" s="6">
        <f>IF(SalesData[[#This Row],[Status of Call]]="completed",1,0)</f>
        <v>0</v>
      </c>
      <c r="J267" s="6">
        <f>1</f>
        <v>1</v>
      </c>
      <c r="K267" s="6">
        <f>SalesData[[#This Row],[Completed calls]]/SalesData[[#This Row],[Total calls]]</f>
        <v>0</v>
      </c>
      <c r="L267" s="4">
        <f t="shared" si="17"/>
        <v>0</v>
      </c>
      <c r="M267" s="4">
        <f t="shared" si="16"/>
        <v>1</v>
      </c>
      <c r="N267" s="4">
        <f t="shared" si="18"/>
        <v>0</v>
      </c>
      <c r="O267" s="7">
        <v>46238</v>
      </c>
      <c r="P267" s="9">
        <v>46238.675092592595</v>
      </c>
      <c r="Q267" s="9">
        <v>46238.675324074073</v>
      </c>
      <c r="R267" s="6">
        <v>21</v>
      </c>
      <c r="S267" s="4">
        <f t="shared" si="19"/>
        <v>1</v>
      </c>
      <c r="T267" s="6">
        <v>0.4</v>
      </c>
      <c r="U267" s="6" t="s">
        <v>26</v>
      </c>
      <c r="V267" s="6" t="s">
        <v>25</v>
      </c>
      <c r="W267" s="6"/>
    </row>
    <row r="268" spans="1:23" x14ac:dyDescent="0.3">
      <c r="A268" s="3" t="s">
        <v>394</v>
      </c>
      <c r="B268" s="6" t="s">
        <v>321</v>
      </c>
      <c r="C268" s="5">
        <v>8099389567</v>
      </c>
      <c r="D268" s="5">
        <v>124249076</v>
      </c>
      <c r="E268" s="6" t="s">
        <v>53</v>
      </c>
      <c r="F268" s="6" t="s">
        <v>95</v>
      </c>
      <c r="G268" s="6">
        <v>1000000013</v>
      </c>
      <c r="H268" s="6" t="s">
        <v>332</v>
      </c>
      <c r="I268" s="6">
        <f>IF(SalesData[[#This Row],[Status of Call]]="completed",1,0)</f>
        <v>0</v>
      </c>
      <c r="J268" s="6">
        <f>1</f>
        <v>1</v>
      </c>
      <c r="K268" s="6">
        <f>SalesData[[#This Row],[Completed calls]]/SalesData[[#This Row],[Total calls]]</f>
        <v>0</v>
      </c>
      <c r="L268" s="4">
        <f t="shared" si="17"/>
        <v>0</v>
      </c>
      <c r="M268" s="4">
        <f t="shared" si="16"/>
        <v>1</v>
      </c>
      <c r="N268" s="4">
        <f t="shared" si="18"/>
        <v>0</v>
      </c>
      <c r="O268" s="7">
        <v>46238</v>
      </c>
      <c r="P268" s="9">
        <v>46238.680798611109</v>
      </c>
      <c r="Q268" s="9">
        <v>46238.681284722225</v>
      </c>
      <c r="R268" s="6">
        <v>41</v>
      </c>
      <c r="S268" s="4">
        <f t="shared" si="19"/>
        <v>1</v>
      </c>
      <c r="T268" s="6">
        <v>0.4</v>
      </c>
      <c r="U268" s="6" t="s">
        <v>26</v>
      </c>
      <c r="V268" s="6" t="s">
        <v>255</v>
      </c>
      <c r="W268" s="6"/>
    </row>
    <row r="269" spans="1:23" x14ac:dyDescent="0.3">
      <c r="A269" s="3" t="s">
        <v>395</v>
      </c>
      <c r="B269" s="6" t="s">
        <v>321</v>
      </c>
      <c r="C269" s="5">
        <v>8099389567</v>
      </c>
      <c r="D269" s="5">
        <v>466083596</v>
      </c>
      <c r="E269" s="6" t="s">
        <v>74</v>
      </c>
      <c r="F269" s="6" t="s">
        <v>68</v>
      </c>
      <c r="G269" s="6">
        <v>1000000007</v>
      </c>
      <c r="H269" s="6" t="s">
        <v>322</v>
      </c>
      <c r="I269" s="6">
        <f>IF(SalesData[[#This Row],[Status of Call]]="completed",1,0)</f>
        <v>0</v>
      </c>
      <c r="J269" s="6">
        <f>1</f>
        <v>1</v>
      </c>
      <c r="K269" s="6">
        <f>SalesData[[#This Row],[Completed calls]]/SalesData[[#This Row],[Total calls]]</f>
        <v>0</v>
      </c>
      <c r="L269" s="4">
        <f t="shared" si="17"/>
        <v>0</v>
      </c>
      <c r="M269" s="4">
        <f t="shared" si="16"/>
        <v>1</v>
      </c>
      <c r="N269" s="4">
        <f t="shared" si="18"/>
        <v>0</v>
      </c>
      <c r="O269" s="7">
        <v>46238</v>
      </c>
      <c r="P269" s="9">
        <v>46238.682141203702</v>
      </c>
      <c r="Q269" s="9">
        <v>46238.68241898148</v>
      </c>
      <c r="R269" s="6">
        <v>24</v>
      </c>
      <c r="S269" s="4">
        <f t="shared" si="19"/>
        <v>1</v>
      </c>
      <c r="T269" s="6">
        <v>0.4</v>
      </c>
      <c r="U269" s="6" t="s">
        <v>26</v>
      </c>
      <c r="V269" s="6" t="s">
        <v>396</v>
      </c>
      <c r="W269" s="6"/>
    </row>
    <row r="270" spans="1:23" x14ac:dyDescent="0.3">
      <c r="A270" s="3" t="s">
        <v>397</v>
      </c>
      <c r="B270" s="6" t="s">
        <v>321</v>
      </c>
      <c r="C270" s="5">
        <v>8099389567</v>
      </c>
      <c r="D270" s="5">
        <v>300327011</v>
      </c>
      <c r="E270" s="6" t="s">
        <v>127</v>
      </c>
      <c r="F270" s="6" t="s">
        <v>68</v>
      </c>
      <c r="G270" s="6">
        <v>1000000007</v>
      </c>
      <c r="H270" s="6" t="s">
        <v>32</v>
      </c>
      <c r="I270" s="6">
        <f>IF(SalesData[[#This Row],[Status of Call]]="completed",1,0)</f>
        <v>1</v>
      </c>
      <c r="J270" s="6">
        <f>1</f>
        <v>1</v>
      </c>
      <c r="K270" s="6">
        <f>SalesData[[#This Row],[Completed calls]]/SalesData[[#This Row],[Total calls]]</f>
        <v>1</v>
      </c>
      <c r="L270" s="4">
        <f t="shared" si="17"/>
        <v>0</v>
      </c>
      <c r="M270" s="4">
        <f t="shared" si="16"/>
        <v>1</v>
      </c>
      <c r="N270" s="4">
        <f t="shared" si="18"/>
        <v>0</v>
      </c>
      <c r="O270" s="7">
        <v>46238</v>
      </c>
      <c r="P270" s="9">
        <v>46238.68377314815</v>
      </c>
      <c r="Q270" s="9">
        <v>46238.684050925927</v>
      </c>
      <c r="R270" s="6">
        <v>24</v>
      </c>
      <c r="S270" s="4">
        <f t="shared" si="19"/>
        <v>0</v>
      </c>
      <c r="T270" s="6">
        <v>1.1499999999999999</v>
      </c>
      <c r="U270" s="6" t="s">
        <v>26</v>
      </c>
      <c r="V270" s="6" t="s">
        <v>206</v>
      </c>
      <c r="W270" s="6"/>
    </row>
    <row r="271" spans="1:23" x14ac:dyDescent="0.3">
      <c r="A271" s="3" t="s">
        <v>398</v>
      </c>
      <c r="B271" s="6" t="s">
        <v>321</v>
      </c>
      <c r="C271" s="5">
        <v>8099389567</v>
      </c>
      <c r="D271" s="5">
        <v>565022454</v>
      </c>
      <c r="E271" s="6" t="s">
        <v>86</v>
      </c>
      <c r="F271" s="6" t="s">
        <v>305</v>
      </c>
      <c r="G271" s="6">
        <v>1000000023</v>
      </c>
      <c r="H271" s="6" t="s">
        <v>32</v>
      </c>
      <c r="I271" s="6">
        <f>IF(SalesData[[#This Row],[Status of Call]]="completed",1,0)</f>
        <v>1</v>
      </c>
      <c r="J271" s="6">
        <f>1</f>
        <v>1</v>
      </c>
      <c r="K271" s="6">
        <f>SalesData[[#This Row],[Completed calls]]/SalesData[[#This Row],[Total calls]]</f>
        <v>1</v>
      </c>
      <c r="L271" s="4">
        <f t="shared" si="17"/>
        <v>0</v>
      </c>
      <c r="M271" s="4">
        <f t="shared" si="16"/>
        <v>1</v>
      </c>
      <c r="N271" s="4">
        <f t="shared" si="18"/>
        <v>0</v>
      </c>
      <c r="O271" s="7">
        <v>46238</v>
      </c>
      <c r="P271" s="9">
        <v>46238.713113425925</v>
      </c>
      <c r="Q271" s="9">
        <v>46238.713842592595</v>
      </c>
      <c r="R271" s="6">
        <v>63</v>
      </c>
      <c r="S271" s="4">
        <f t="shared" si="19"/>
        <v>0</v>
      </c>
      <c r="T271" s="6">
        <v>1.1499999999999999</v>
      </c>
      <c r="U271" s="6" t="s">
        <v>26</v>
      </c>
      <c r="V271" s="6" t="s">
        <v>206</v>
      </c>
      <c r="W271" s="6"/>
    </row>
    <row r="272" spans="1:23" x14ac:dyDescent="0.3">
      <c r="A272" s="3" t="s">
        <v>399</v>
      </c>
      <c r="B272" s="6" t="s">
        <v>321</v>
      </c>
      <c r="C272" s="5">
        <v>8099389567</v>
      </c>
      <c r="D272" s="5">
        <v>378908620</v>
      </c>
      <c r="E272" s="6" t="s">
        <v>123</v>
      </c>
      <c r="F272" s="6" t="s">
        <v>38</v>
      </c>
      <c r="G272" s="6">
        <v>1000000028</v>
      </c>
      <c r="H272" s="6" t="s">
        <v>332</v>
      </c>
      <c r="I272" s="6">
        <f>IF(SalesData[[#This Row],[Status of Call]]="completed",1,0)</f>
        <v>0</v>
      </c>
      <c r="J272" s="6">
        <f>1</f>
        <v>1</v>
      </c>
      <c r="K272" s="6">
        <f>SalesData[[#This Row],[Completed calls]]/SalesData[[#This Row],[Total calls]]</f>
        <v>0</v>
      </c>
      <c r="L272" s="4">
        <f t="shared" si="17"/>
        <v>0</v>
      </c>
      <c r="M272" s="4">
        <f t="shared" si="16"/>
        <v>1</v>
      </c>
      <c r="N272" s="4">
        <f t="shared" si="18"/>
        <v>0</v>
      </c>
      <c r="O272" s="7">
        <v>46238</v>
      </c>
      <c r="P272" s="9">
        <v>46238.716145833336</v>
      </c>
      <c r="Q272" s="9">
        <v>46238.716585648152</v>
      </c>
      <c r="R272" s="6">
        <v>43</v>
      </c>
      <c r="S272" s="4">
        <f t="shared" si="19"/>
        <v>1</v>
      </c>
      <c r="T272" s="6">
        <v>0.4</v>
      </c>
      <c r="U272" s="6" t="s">
        <v>26</v>
      </c>
      <c r="V272" s="6" t="s">
        <v>142</v>
      </c>
      <c r="W272" s="6"/>
    </row>
    <row r="273" spans="1:23" x14ac:dyDescent="0.3">
      <c r="A273" s="3" t="s">
        <v>400</v>
      </c>
      <c r="B273" s="6" t="s">
        <v>321</v>
      </c>
      <c r="C273" s="5">
        <v>8099389567</v>
      </c>
      <c r="D273" s="5">
        <v>570250696</v>
      </c>
      <c r="E273" s="6" t="s">
        <v>51</v>
      </c>
      <c r="F273" s="6" t="s">
        <v>192</v>
      </c>
      <c r="G273" s="6">
        <v>1000000027</v>
      </c>
      <c r="H273" s="6" t="s">
        <v>322</v>
      </c>
      <c r="I273" s="6">
        <f>IF(SalesData[[#This Row],[Status of Call]]="completed",1,0)</f>
        <v>0</v>
      </c>
      <c r="J273" s="6">
        <f>1</f>
        <v>1</v>
      </c>
      <c r="K273" s="6">
        <f>SalesData[[#This Row],[Completed calls]]/SalesData[[#This Row],[Total calls]]</f>
        <v>0</v>
      </c>
      <c r="L273" s="4">
        <f t="shared" si="17"/>
        <v>0</v>
      </c>
      <c r="M273" s="4">
        <f t="shared" si="16"/>
        <v>1</v>
      </c>
      <c r="N273" s="4">
        <f t="shared" si="18"/>
        <v>0</v>
      </c>
      <c r="O273" s="7">
        <v>46238</v>
      </c>
      <c r="P273" s="9">
        <v>46238.718136574076</v>
      </c>
      <c r="Q273" s="9">
        <v>46238.718310185184</v>
      </c>
      <c r="R273" s="6">
        <v>15</v>
      </c>
      <c r="S273" s="4">
        <f t="shared" si="19"/>
        <v>1</v>
      </c>
      <c r="T273" s="6">
        <v>0.4</v>
      </c>
      <c r="U273" s="6" t="s">
        <v>26</v>
      </c>
      <c r="V273" s="6" t="s">
        <v>26</v>
      </c>
      <c r="W273" s="6"/>
    </row>
    <row r="274" spans="1:23" x14ac:dyDescent="0.3">
      <c r="A274" s="3" t="s">
        <v>401</v>
      </c>
      <c r="B274" s="6" t="s">
        <v>321</v>
      </c>
      <c r="C274" s="5">
        <v>8099389567</v>
      </c>
      <c r="D274" s="5">
        <v>587240993</v>
      </c>
      <c r="E274" s="6" t="s">
        <v>170</v>
      </c>
      <c r="F274" s="6" t="s">
        <v>75</v>
      </c>
      <c r="G274" s="6">
        <v>1000000030</v>
      </c>
      <c r="H274" s="6" t="s">
        <v>322</v>
      </c>
      <c r="I274" s="6">
        <f>IF(SalesData[[#This Row],[Status of Call]]="completed",1,0)</f>
        <v>0</v>
      </c>
      <c r="J274" s="6">
        <f>1</f>
        <v>1</v>
      </c>
      <c r="K274" s="6">
        <f>SalesData[[#This Row],[Completed calls]]/SalesData[[#This Row],[Total calls]]</f>
        <v>0</v>
      </c>
      <c r="L274" s="4">
        <f t="shared" si="17"/>
        <v>0</v>
      </c>
      <c r="M274" s="4">
        <f t="shared" si="16"/>
        <v>1</v>
      </c>
      <c r="N274" s="4">
        <f t="shared" si="18"/>
        <v>0</v>
      </c>
      <c r="O274" s="7">
        <v>46238</v>
      </c>
      <c r="P274" s="9">
        <v>46238.720034722224</v>
      </c>
      <c r="Q274" s="9">
        <v>46238.72042824074</v>
      </c>
      <c r="R274" s="6">
        <v>34</v>
      </c>
      <c r="S274" s="4">
        <f t="shared" si="19"/>
        <v>1</v>
      </c>
      <c r="T274" s="6">
        <v>0.4</v>
      </c>
      <c r="U274" s="6" t="s">
        <v>26</v>
      </c>
      <c r="V274" s="6" t="s">
        <v>335</v>
      </c>
      <c r="W274" s="6"/>
    </row>
    <row r="275" spans="1:23" x14ac:dyDescent="0.3">
      <c r="A275" s="3" t="s">
        <v>402</v>
      </c>
      <c r="B275" s="10" t="s">
        <v>321</v>
      </c>
      <c r="C275" s="5">
        <v>8099389567</v>
      </c>
      <c r="D275" s="5">
        <v>52574607</v>
      </c>
      <c r="E275" s="6" t="s">
        <v>68</v>
      </c>
      <c r="F275" s="10" t="s">
        <v>70</v>
      </c>
      <c r="G275" s="10">
        <v>1000000002</v>
      </c>
      <c r="H275" s="10" t="s">
        <v>332</v>
      </c>
      <c r="I275" s="10">
        <f>IF(SalesData[[#This Row],[Status of Call]]="completed",1,0)</f>
        <v>0</v>
      </c>
      <c r="J275" s="10">
        <f>1</f>
        <v>1</v>
      </c>
      <c r="K275" s="10">
        <f>SalesData[[#This Row],[Completed calls]]/SalesData[[#This Row],[Total calls]]</f>
        <v>0</v>
      </c>
      <c r="L275" s="4">
        <f t="shared" si="17"/>
        <v>0</v>
      </c>
      <c r="M275" s="4">
        <f t="shared" si="16"/>
        <v>1</v>
      </c>
      <c r="N275" s="4">
        <f t="shared" si="18"/>
        <v>0</v>
      </c>
      <c r="O275" s="7">
        <v>46236</v>
      </c>
      <c r="P275" s="9">
        <v>46236.438958333332</v>
      </c>
      <c r="Q275" s="9">
        <v>46236.439467592594</v>
      </c>
      <c r="R275" s="10">
        <v>43</v>
      </c>
      <c r="S275" s="4">
        <f t="shared" si="19"/>
        <v>1</v>
      </c>
      <c r="T275" s="10">
        <v>0.4</v>
      </c>
      <c r="U275" s="10" t="s">
        <v>26</v>
      </c>
      <c r="V275" s="10" t="s">
        <v>26</v>
      </c>
      <c r="W275" s="6"/>
    </row>
    <row r="276" spans="1:23" x14ac:dyDescent="0.3">
      <c r="A276" s="3" t="s">
        <v>403</v>
      </c>
      <c r="B276" s="6" t="s">
        <v>321</v>
      </c>
      <c r="C276" s="5">
        <v>8099389567</v>
      </c>
      <c r="D276" s="5">
        <v>72880225</v>
      </c>
      <c r="E276" s="6" t="s">
        <v>53</v>
      </c>
      <c r="F276" s="6" t="s">
        <v>45</v>
      </c>
      <c r="G276" s="6">
        <v>1000000004</v>
      </c>
      <c r="H276" s="6" t="s">
        <v>322</v>
      </c>
      <c r="I276" s="6">
        <f>IF(SalesData[[#This Row],[Status of Call]]="completed",1,0)</f>
        <v>0</v>
      </c>
      <c r="J276" s="6">
        <f>1</f>
        <v>1</v>
      </c>
      <c r="K276" s="6">
        <f>SalesData[[#This Row],[Completed calls]]/SalesData[[#This Row],[Total calls]]</f>
        <v>0</v>
      </c>
      <c r="L276" s="4">
        <f t="shared" si="17"/>
        <v>0</v>
      </c>
      <c r="M276" s="4">
        <f t="shared" si="16"/>
        <v>1</v>
      </c>
      <c r="N276" s="4">
        <f t="shared" si="18"/>
        <v>0</v>
      </c>
      <c r="O276" s="7">
        <v>46238</v>
      </c>
      <c r="P276" s="9">
        <v>46238.721585648149</v>
      </c>
      <c r="Q276" s="9">
        <v>46238.721875000003</v>
      </c>
      <c r="R276" s="6">
        <v>26</v>
      </c>
      <c r="S276" s="4">
        <f t="shared" si="19"/>
        <v>1</v>
      </c>
      <c r="T276" s="6">
        <v>0.4</v>
      </c>
      <c r="U276" s="6" t="s">
        <v>26</v>
      </c>
      <c r="V276" s="6" t="s">
        <v>26</v>
      </c>
      <c r="W276" s="6"/>
    </row>
    <row r="277" spans="1:23" x14ac:dyDescent="0.3">
      <c r="A277" s="3" t="s">
        <v>404</v>
      </c>
      <c r="B277" s="6" t="s">
        <v>321</v>
      </c>
      <c r="C277" s="5">
        <v>8099389567</v>
      </c>
      <c r="D277" s="5">
        <v>904299253</v>
      </c>
      <c r="E277" s="6" t="s">
        <v>51</v>
      </c>
      <c r="F277" s="6" t="s">
        <v>68</v>
      </c>
      <c r="G277" s="6">
        <v>1000000007</v>
      </c>
      <c r="H277" s="6" t="s">
        <v>322</v>
      </c>
      <c r="I277" s="6">
        <f>IF(SalesData[[#This Row],[Status of Call]]="completed",1,0)</f>
        <v>0</v>
      </c>
      <c r="J277" s="6">
        <f>1</f>
        <v>1</v>
      </c>
      <c r="K277" s="6">
        <f>SalesData[[#This Row],[Completed calls]]/SalesData[[#This Row],[Total calls]]</f>
        <v>0</v>
      </c>
      <c r="L277" s="4">
        <f t="shared" si="17"/>
        <v>0</v>
      </c>
      <c r="M277" s="4">
        <f t="shared" si="16"/>
        <v>1</v>
      </c>
      <c r="N277" s="4">
        <f t="shared" si="18"/>
        <v>0</v>
      </c>
      <c r="O277" s="7">
        <v>46238</v>
      </c>
      <c r="P277" s="9">
        <v>46238.72246527778</v>
      </c>
      <c r="Q277" s="9">
        <v>46238.722743055558</v>
      </c>
      <c r="R277" s="6">
        <v>24</v>
      </c>
      <c r="S277" s="4">
        <f t="shared" si="19"/>
        <v>1</v>
      </c>
      <c r="T277" s="6">
        <v>0.4</v>
      </c>
      <c r="U277" s="6" t="s">
        <v>26</v>
      </c>
      <c r="V277" s="6" t="s">
        <v>206</v>
      </c>
      <c r="W277" s="6"/>
    </row>
    <row r="278" spans="1:23" x14ac:dyDescent="0.3">
      <c r="A278" s="3" t="s">
        <v>405</v>
      </c>
      <c r="B278" s="6" t="s">
        <v>321</v>
      </c>
      <c r="C278" s="5">
        <v>8099389567</v>
      </c>
      <c r="D278" s="5">
        <v>345487446</v>
      </c>
      <c r="E278" s="6" t="s">
        <v>22</v>
      </c>
      <c r="F278" s="6" t="s">
        <v>45</v>
      </c>
      <c r="G278" s="6">
        <v>1000000004</v>
      </c>
      <c r="H278" s="6" t="s">
        <v>322</v>
      </c>
      <c r="I278" s="6">
        <f>IF(SalesData[[#This Row],[Status of Call]]="completed",1,0)</f>
        <v>0</v>
      </c>
      <c r="J278" s="6">
        <f>1</f>
        <v>1</v>
      </c>
      <c r="K278" s="6">
        <f>SalesData[[#This Row],[Completed calls]]/SalesData[[#This Row],[Total calls]]</f>
        <v>0</v>
      </c>
      <c r="L278" s="4">
        <f t="shared" si="17"/>
        <v>0</v>
      </c>
      <c r="M278" s="4">
        <f t="shared" si="16"/>
        <v>1</v>
      </c>
      <c r="N278" s="4">
        <f t="shared" si="18"/>
        <v>0</v>
      </c>
      <c r="O278" s="7">
        <v>46238</v>
      </c>
      <c r="P278" s="9">
        <v>46238.723923611113</v>
      </c>
      <c r="Q278" s="9">
        <v>46238.724131944444</v>
      </c>
      <c r="R278" s="6">
        <v>17</v>
      </c>
      <c r="S278" s="4">
        <f t="shared" si="19"/>
        <v>1</v>
      </c>
      <c r="T278" s="6">
        <v>0.4</v>
      </c>
      <c r="U278" s="6" t="s">
        <v>26</v>
      </c>
      <c r="V278" s="6" t="s">
        <v>335</v>
      </c>
      <c r="W278" s="6"/>
    </row>
    <row r="279" spans="1:23" x14ac:dyDescent="0.3">
      <c r="A279" s="3" t="s">
        <v>406</v>
      </c>
      <c r="B279" s="6" t="s">
        <v>321</v>
      </c>
      <c r="C279" s="5">
        <v>8099389567</v>
      </c>
      <c r="D279" s="5">
        <v>88284891</v>
      </c>
      <c r="E279" s="6" t="s">
        <v>38</v>
      </c>
      <c r="F279" s="6" t="s">
        <v>68</v>
      </c>
      <c r="G279" s="6">
        <v>1000000007</v>
      </c>
      <c r="H279" s="6" t="s">
        <v>32</v>
      </c>
      <c r="I279" s="6">
        <f>IF(SalesData[[#This Row],[Status of Call]]="completed",1,0)</f>
        <v>1</v>
      </c>
      <c r="J279" s="6">
        <f>1</f>
        <v>1</v>
      </c>
      <c r="K279" s="6">
        <f>SalesData[[#This Row],[Completed calls]]/SalesData[[#This Row],[Total calls]]</f>
        <v>1</v>
      </c>
      <c r="L279" s="4">
        <f t="shared" si="17"/>
        <v>0</v>
      </c>
      <c r="M279" s="4">
        <f t="shared" si="16"/>
        <v>1</v>
      </c>
      <c r="N279" s="4">
        <f t="shared" si="18"/>
        <v>0</v>
      </c>
      <c r="O279" s="7">
        <v>46238</v>
      </c>
      <c r="P279" s="9">
        <v>46238.743148148147</v>
      </c>
      <c r="Q279" s="9">
        <v>46238.744525462964</v>
      </c>
      <c r="R279" s="6">
        <v>124</v>
      </c>
      <c r="S279" s="4">
        <f t="shared" si="19"/>
        <v>0</v>
      </c>
      <c r="T279" s="6">
        <v>2.2999999999999998</v>
      </c>
      <c r="U279" s="6" t="s">
        <v>26</v>
      </c>
      <c r="V279" s="6" t="s">
        <v>206</v>
      </c>
      <c r="W279" s="6"/>
    </row>
    <row r="280" spans="1:23" x14ac:dyDescent="0.3">
      <c r="A280" s="3" t="s">
        <v>407</v>
      </c>
      <c r="B280" s="6" t="s">
        <v>321</v>
      </c>
      <c r="C280" s="5">
        <v>8099389567</v>
      </c>
      <c r="D280" s="5">
        <v>645402273</v>
      </c>
      <c r="E280" s="6" t="s">
        <v>53</v>
      </c>
      <c r="F280" s="6" t="s">
        <v>95</v>
      </c>
      <c r="G280" s="6">
        <v>1000000013</v>
      </c>
      <c r="H280" s="6" t="s">
        <v>322</v>
      </c>
      <c r="I280" s="6">
        <f>IF(SalesData[[#This Row],[Status of Call]]="completed",1,0)</f>
        <v>0</v>
      </c>
      <c r="J280" s="6">
        <f>1</f>
        <v>1</v>
      </c>
      <c r="K280" s="6">
        <f>SalesData[[#This Row],[Completed calls]]/SalesData[[#This Row],[Total calls]]</f>
        <v>0</v>
      </c>
      <c r="L280" s="4">
        <f t="shared" si="17"/>
        <v>0</v>
      </c>
      <c r="M280" s="4">
        <f t="shared" si="16"/>
        <v>1</v>
      </c>
      <c r="N280" s="4">
        <f t="shared" si="18"/>
        <v>0</v>
      </c>
      <c r="O280" s="7">
        <v>46238</v>
      </c>
      <c r="P280" s="9">
        <v>46238.755243055559</v>
      </c>
      <c r="Q280" s="9">
        <v>46238.755428240744</v>
      </c>
      <c r="R280" s="6">
        <v>16</v>
      </c>
      <c r="S280" s="4">
        <f t="shared" si="19"/>
        <v>1</v>
      </c>
      <c r="T280" s="6">
        <v>0.4</v>
      </c>
      <c r="U280" s="6" t="s">
        <v>26</v>
      </c>
      <c r="V280" s="6" t="s">
        <v>42</v>
      </c>
      <c r="W280" s="6"/>
    </row>
    <row r="281" spans="1:23" x14ac:dyDescent="0.3">
      <c r="A281" s="3" t="s">
        <v>408</v>
      </c>
      <c r="B281" s="6" t="s">
        <v>321</v>
      </c>
      <c r="C281" s="5">
        <v>8099389567</v>
      </c>
      <c r="D281" s="5">
        <v>567438248</v>
      </c>
      <c r="E281" s="6" t="s">
        <v>37</v>
      </c>
      <c r="F281" s="6" t="s">
        <v>95</v>
      </c>
      <c r="G281" s="6">
        <v>1000000013</v>
      </c>
      <c r="H281" s="6" t="s">
        <v>322</v>
      </c>
      <c r="I281" s="6">
        <f>IF(SalesData[[#This Row],[Status of Call]]="completed",1,0)</f>
        <v>0</v>
      </c>
      <c r="J281" s="6">
        <f>1</f>
        <v>1</v>
      </c>
      <c r="K281" s="6">
        <f>SalesData[[#This Row],[Completed calls]]/SalesData[[#This Row],[Total calls]]</f>
        <v>0</v>
      </c>
      <c r="L281" s="4">
        <f t="shared" si="17"/>
        <v>0</v>
      </c>
      <c r="M281" s="4">
        <f t="shared" si="16"/>
        <v>1</v>
      </c>
      <c r="N281" s="4">
        <f t="shared" si="18"/>
        <v>0</v>
      </c>
      <c r="O281" s="7">
        <v>46238</v>
      </c>
      <c r="P281" s="9">
        <v>46238.757037037038</v>
      </c>
      <c r="Q281" s="9">
        <v>46238.757268518515</v>
      </c>
      <c r="R281" s="6">
        <v>19</v>
      </c>
      <c r="S281" s="4">
        <f t="shared" si="19"/>
        <v>1</v>
      </c>
      <c r="T281" s="6">
        <v>0.4</v>
      </c>
      <c r="U281" s="6" t="s">
        <v>26</v>
      </c>
      <c r="V281" s="6" t="s">
        <v>42</v>
      </c>
      <c r="W281" s="6"/>
    </row>
    <row r="282" spans="1:23" x14ac:dyDescent="0.3">
      <c r="A282" s="3" t="s">
        <v>409</v>
      </c>
      <c r="B282" s="6" t="s">
        <v>321</v>
      </c>
      <c r="C282" s="5">
        <v>8099389567</v>
      </c>
      <c r="D282" s="5">
        <v>208186378</v>
      </c>
      <c r="E282" s="6" t="s">
        <v>97</v>
      </c>
      <c r="F282" s="6" t="s">
        <v>107</v>
      </c>
      <c r="G282" s="6">
        <v>1000000035</v>
      </c>
      <c r="H282" s="6" t="s">
        <v>322</v>
      </c>
      <c r="I282" s="6">
        <f>IF(SalesData[[#This Row],[Status of Call]]="completed",1,0)</f>
        <v>0</v>
      </c>
      <c r="J282" s="6">
        <f>1</f>
        <v>1</v>
      </c>
      <c r="K282" s="6">
        <f>SalesData[[#This Row],[Completed calls]]/SalesData[[#This Row],[Total calls]]</f>
        <v>0</v>
      </c>
      <c r="L282" s="4">
        <f t="shared" si="17"/>
        <v>0</v>
      </c>
      <c r="M282" s="4">
        <f t="shared" si="16"/>
        <v>1</v>
      </c>
      <c r="N282" s="4">
        <f t="shared" si="18"/>
        <v>0</v>
      </c>
      <c r="O282" s="7">
        <v>46238</v>
      </c>
      <c r="P282" s="9">
        <v>46238.757928240739</v>
      </c>
      <c r="Q282" s="9">
        <v>46238.758263888885</v>
      </c>
      <c r="R282" s="6">
        <v>29</v>
      </c>
      <c r="S282" s="4">
        <f t="shared" si="19"/>
        <v>1</v>
      </c>
      <c r="T282" s="6">
        <v>0.4</v>
      </c>
      <c r="U282" s="6" t="s">
        <v>26</v>
      </c>
      <c r="V282" s="6" t="s">
        <v>188</v>
      </c>
      <c r="W282" s="6"/>
    </row>
    <row r="283" spans="1:23" x14ac:dyDescent="0.3">
      <c r="A283" s="3" t="s">
        <v>410</v>
      </c>
      <c r="B283" s="6" t="s">
        <v>321</v>
      </c>
      <c r="C283" s="5">
        <v>8099389567</v>
      </c>
      <c r="D283" s="5">
        <v>399355862</v>
      </c>
      <c r="E283" s="6" t="s">
        <v>80</v>
      </c>
      <c r="F283" s="6" t="s">
        <v>28</v>
      </c>
      <c r="G283" s="6">
        <v>1000000009</v>
      </c>
      <c r="H283" s="6" t="s">
        <v>32</v>
      </c>
      <c r="I283" s="6">
        <f>IF(SalesData[[#This Row],[Status of Call]]="completed",1,0)</f>
        <v>1</v>
      </c>
      <c r="J283" s="6">
        <f>1</f>
        <v>1</v>
      </c>
      <c r="K283" s="6">
        <f>SalesData[[#This Row],[Completed calls]]/SalesData[[#This Row],[Total calls]]</f>
        <v>1</v>
      </c>
      <c r="L283" s="4">
        <f t="shared" si="17"/>
        <v>0</v>
      </c>
      <c r="M283" s="4">
        <f t="shared" si="16"/>
        <v>1</v>
      </c>
      <c r="N283" s="4">
        <f t="shared" si="18"/>
        <v>0</v>
      </c>
      <c r="O283" s="7">
        <v>46238</v>
      </c>
      <c r="P283" s="9">
        <v>46238.759548611109</v>
      </c>
      <c r="Q283" s="9">
        <v>46238.760636574072</v>
      </c>
      <c r="R283" s="6">
        <v>95</v>
      </c>
      <c r="S283" s="4">
        <f t="shared" si="19"/>
        <v>0</v>
      </c>
      <c r="T283" s="6">
        <v>2.2999999999999998</v>
      </c>
      <c r="U283" s="6" t="s">
        <v>26</v>
      </c>
      <c r="V283" s="6" t="s">
        <v>206</v>
      </c>
      <c r="W283" s="6"/>
    </row>
    <row r="284" spans="1:23" x14ac:dyDescent="0.3">
      <c r="A284" s="3" t="s">
        <v>411</v>
      </c>
      <c r="B284" s="6" t="s">
        <v>321</v>
      </c>
      <c r="C284" s="5">
        <v>8099389567</v>
      </c>
      <c r="D284" s="5">
        <v>913916661</v>
      </c>
      <c r="E284" s="6" t="s">
        <v>127</v>
      </c>
      <c r="F284" s="6" t="s">
        <v>31</v>
      </c>
      <c r="G284" s="6">
        <v>1000000016</v>
      </c>
      <c r="H284" s="6" t="s">
        <v>322</v>
      </c>
      <c r="I284" s="6">
        <f>IF(SalesData[[#This Row],[Status of Call]]="completed",1,0)</f>
        <v>0</v>
      </c>
      <c r="J284" s="6">
        <f>1</f>
        <v>1</v>
      </c>
      <c r="K284" s="6">
        <f>SalesData[[#This Row],[Completed calls]]/SalesData[[#This Row],[Total calls]]</f>
        <v>0</v>
      </c>
      <c r="L284" s="4">
        <f t="shared" si="17"/>
        <v>0</v>
      </c>
      <c r="M284" s="4">
        <f t="shared" si="16"/>
        <v>1</v>
      </c>
      <c r="N284" s="4">
        <f t="shared" si="18"/>
        <v>0</v>
      </c>
      <c r="O284" s="7">
        <v>46238</v>
      </c>
      <c r="P284" s="9">
        <v>46238.804537037038</v>
      </c>
      <c r="Q284" s="9">
        <v>46238.804803240739</v>
      </c>
      <c r="R284" s="6">
        <v>23</v>
      </c>
      <c r="S284" s="4">
        <f t="shared" si="19"/>
        <v>1</v>
      </c>
      <c r="T284" s="6">
        <v>0.4</v>
      </c>
      <c r="U284" s="6" t="s">
        <v>26</v>
      </c>
      <c r="V284" s="6" t="s">
        <v>26</v>
      </c>
      <c r="W284" s="6"/>
    </row>
    <row r="285" spans="1:23" x14ac:dyDescent="0.3">
      <c r="A285" s="3" t="s">
        <v>412</v>
      </c>
      <c r="B285" s="6" t="s">
        <v>321</v>
      </c>
      <c r="C285" s="5">
        <v>8099389567</v>
      </c>
      <c r="D285" s="5">
        <v>241993138</v>
      </c>
      <c r="E285" s="6" t="s">
        <v>38</v>
      </c>
      <c r="F285" s="6" t="s">
        <v>47</v>
      </c>
      <c r="G285" s="6">
        <v>1000000005</v>
      </c>
      <c r="H285" s="6" t="s">
        <v>322</v>
      </c>
      <c r="I285" s="6">
        <f>IF(SalesData[[#This Row],[Status of Call]]="completed",1,0)</f>
        <v>0</v>
      </c>
      <c r="J285" s="6">
        <f>1</f>
        <v>1</v>
      </c>
      <c r="K285" s="6">
        <f>SalesData[[#This Row],[Completed calls]]/SalesData[[#This Row],[Total calls]]</f>
        <v>0</v>
      </c>
      <c r="L285" s="4">
        <f t="shared" si="17"/>
        <v>0</v>
      </c>
      <c r="M285" s="4">
        <f t="shared" si="16"/>
        <v>1</v>
      </c>
      <c r="N285" s="4">
        <f t="shared" si="18"/>
        <v>0</v>
      </c>
      <c r="O285" s="7">
        <v>46238</v>
      </c>
      <c r="P285" s="9">
        <v>46238.811574074076</v>
      </c>
      <c r="Q285" s="9">
        <v>46238.811967592592</v>
      </c>
      <c r="R285" s="6">
        <v>35</v>
      </c>
      <c r="S285" s="4">
        <f t="shared" si="19"/>
        <v>1</v>
      </c>
      <c r="T285" s="6">
        <v>0.4</v>
      </c>
      <c r="U285" s="6" t="s">
        <v>26</v>
      </c>
      <c r="V285" s="6" t="s">
        <v>335</v>
      </c>
      <c r="W285" s="6"/>
    </row>
    <row r="286" spans="1:23" x14ac:dyDescent="0.3">
      <c r="A286" s="3" t="s">
        <v>413</v>
      </c>
      <c r="B286" s="10" t="s">
        <v>321</v>
      </c>
      <c r="C286" s="5">
        <v>8099389567</v>
      </c>
      <c r="D286" s="5">
        <v>18723854</v>
      </c>
      <c r="E286" s="6" t="s">
        <v>68</v>
      </c>
      <c r="F286" s="10" t="s">
        <v>98</v>
      </c>
      <c r="G286" s="10">
        <v>1000000015</v>
      </c>
      <c r="H286" s="10" t="s">
        <v>332</v>
      </c>
      <c r="I286" s="10">
        <f>IF(SalesData[[#This Row],[Status of Call]]="completed",1,0)</f>
        <v>0</v>
      </c>
      <c r="J286" s="10">
        <f>1</f>
        <v>1</v>
      </c>
      <c r="K286" s="10">
        <f>SalesData[[#This Row],[Completed calls]]/SalesData[[#This Row],[Total calls]]</f>
        <v>0</v>
      </c>
      <c r="L286" s="4">
        <f t="shared" si="17"/>
        <v>0</v>
      </c>
      <c r="M286" s="4">
        <f t="shared" si="16"/>
        <v>1</v>
      </c>
      <c r="N286" s="4">
        <f t="shared" si="18"/>
        <v>0</v>
      </c>
      <c r="O286" s="7">
        <v>46236</v>
      </c>
      <c r="P286" s="9">
        <v>46236.448541666665</v>
      </c>
      <c r="Q286" s="9">
        <v>46236.44902777778</v>
      </c>
      <c r="R286" s="10">
        <v>43</v>
      </c>
      <c r="S286" s="4">
        <f t="shared" si="19"/>
        <v>1</v>
      </c>
      <c r="T286" s="10">
        <v>0.4</v>
      </c>
      <c r="U286" s="10" t="s">
        <v>26</v>
      </c>
      <c r="V286" s="10" t="s">
        <v>26</v>
      </c>
      <c r="W286" s="6"/>
    </row>
    <row r="287" spans="1:23" x14ac:dyDescent="0.3">
      <c r="A287" s="3" t="s">
        <v>414</v>
      </c>
      <c r="B287" s="6" t="s">
        <v>321</v>
      </c>
      <c r="C287" s="5">
        <v>8099389567</v>
      </c>
      <c r="D287" s="5">
        <v>482282053</v>
      </c>
      <c r="E287" s="6" t="s">
        <v>28</v>
      </c>
      <c r="F287" s="6" t="s">
        <v>203</v>
      </c>
      <c r="G287" s="6">
        <v>1000000025</v>
      </c>
      <c r="H287" s="6" t="s">
        <v>32</v>
      </c>
      <c r="I287" s="6">
        <f>IF(SalesData[[#This Row],[Status of Call]]="completed",1,0)</f>
        <v>1</v>
      </c>
      <c r="J287" s="6">
        <f>1</f>
        <v>1</v>
      </c>
      <c r="K287" s="6">
        <f>SalesData[[#This Row],[Completed calls]]/SalesData[[#This Row],[Total calls]]</f>
        <v>1</v>
      </c>
      <c r="L287" s="4">
        <f t="shared" si="17"/>
        <v>0</v>
      </c>
      <c r="M287" s="4">
        <f t="shared" si="16"/>
        <v>1</v>
      </c>
      <c r="N287" s="4">
        <f t="shared" si="18"/>
        <v>0</v>
      </c>
      <c r="O287" s="7">
        <v>46239</v>
      </c>
      <c r="P287" s="9">
        <v>46239.583634259259</v>
      </c>
      <c r="Q287" s="9">
        <v>46239.584189814814</v>
      </c>
      <c r="R287" s="6">
        <v>48</v>
      </c>
      <c r="S287" s="4">
        <f t="shared" si="19"/>
        <v>0</v>
      </c>
      <c r="T287" s="6">
        <v>1.1499999999999999</v>
      </c>
      <c r="U287" s="6" t="s">
        <v>26</v>
      </c>
      <c r="V287" s="6" t="s">
        <v>206</v>
      </c>
      <c r="W287" s="6"/>
    </row>
    <row r="288" spans="1:23" x14ac:dyDescent="0.3">
      <c r="A288" s="3" t="s">
        <v>415</v>
      </c>
      <c r="B288" s="6" t="s">
        <v>321</v>
      </c>
      <c r="C288" s="5">
        <v>8099389567</v>
      </c>
      <c r="D288" s="5">
        <v>517596904</v>
      </c>
      <c r="E288" s="6" t="s">
        <v>23</v>
      </c>
      <c r="F288" s="6" t="s">
        <v>35</v>
      </c>
      <c r="G288" s="6">
        <v>1000000017</v>
      </c>
      <c r="H288" s="6" t="s">
        <v>332</v>
      </c>
      <c r="I288" s="6">
        <f>IF(SalesData[[#This Row],[Status of Call]]="completed",1,0)</f>
        <v>0</v>
      </c>
      <c r="J288" s="6">
        <f>1</f>
        <v>1</v>
      </c>
      <c r="K288" s="6">
        <f>SalesData[[#This Row],[Completed calls]]/SalesData[[#This Row],[Total calls]]</f>
        <v>0</v>
      </c>
      <c r="L288" s="4">
        <f t="shared" si="17"/>
        <v>0</v>
      </c>
      <c r="M288" s="4">
        <f t="shared" si="16"/>
        <v>1</v>
      </c>
      <c r="N288" s="4">
        <f t="shared" si="18"/>
        <v>0</v>
      </c>
      <c r="O288" s="7">
        <v>46239</v>
      </c>
      <c r="P288" s="9">
        <v>46239.584861111114</v>
      </c>
      <c r="Q288" s="9">
        <v>46239.585335648146</v>
      </c>
      <c r="R288" s="6">
        <v>42</v>
      </c>
      <c r="S288" s="4">
        <f t="shared" si="19"/>
        <v>1</v>
      </c>
      <c r="T288" s="6">
        <v>0.4</v>
      </c>
      <c r="U288" s="6" t="s">
        <v>26</v>
      </c>
      <c r="V288" s="6" t="s">
        <v>206</v>
      </c>
      <c r="W288" s="6"/>
    </row>
    <row r="289" spans="1:23" x14ac:dyDescent="0.3">
      <c r="A289" s="3" t="s">
        <v>416</v>
      </c>
      <c r="B289" s="6" t="s">
        <v>321</v>
      </c>
      <c r="C289" s="5">
        <v>8099389567</v>
      </c>
      <c r="D289" s="5">
        <v>112387072</v>
      </c>
      <c r="E289" s="6" t="s">
        <v>44</v>
      </c>
      <c r="F289" s="6" t="s">
        <v>212</v>
      </c>
      <c r="G289" s="6">
        <v>1000000019</v>
      </c>
      <c r="H289" s="6" t="s">
        <v>332</v>
      </c>
      <c r="I289" s="6">
        <f>IF(SalesData[[#This Row],[Status of Call]]="completed",1,0)</f>
        <v>0</v>
      </c>
      <c r="J289" s="6">
        <f>1</f>
        <v>1</v>
      </c>
      <c r="K289" s="6">
        <f>SalesData[[#This Row],[Completed calls]]/SalesData[[#This Row],[Total calls]]</f>
        <v>0</v>
      </c>
      <c r="L289" s="4">
        <f t="shared" si="17"/>
        <v>0</v>
      </c>
      <c r="M289" s="4">
        <f t="shared" si="16"/>
        <v>1</v>
      </c>
      <c r="N289" s="4">
        <f t="shared" si="18"/>
        <v>0</v>
      </c>
      <c r="O289" s="7">
        <v>46239</v>
      </c>
      <c r="P289" s="9">
        <v>46239.587002314816</v>
      </c>
      <c r="Q289" s="9">
        <v>46239.587476851855</v>
      </c>
      <c r="R289" s="6">
        <v>41</v>
      </c>
      <c r="S289" s="4">
        <f t="shared" si="19"/>
        <v>1</v>
      </c>
      <c r="T289" s="6">
        <v>0.4</v>
      </c>
      <c r="U289" s="6" t="s">
        <v>26</v>
      </c>
      <c r="V289" s="6" t="s">
        <v>26</v>
      </c>
      <c r="W289" s="6"/>
    </row>
    <row r="290" spans="1:23" x14ac:dyDescent="0.3">
      <c r="A290" s="3" t="s">
        <v>417</v>
      </c>
      <c r="B290" s="6" t="s">
        <v>321</v>
      </c>
      <c r="C290" s="5">
        <v>8099389567</v>
      </c>
      <c r="D290" s="5">
        <v>353920861</v>
      </c>
      <c r="E290" s="6" t="s">
        <v>23</v>
      </c>
      <c r="F290" s="6" t="s">
        <v>38</v>
      </c>
      <c r="G290" s="6">
        <v>1000000028</v>
      </c>
      <c r="H290" s="6" t="s">
        <v>32</v>
      </c>
      <c r="I290" s="6">
        <f>IF(SalesData[[#This Row],[Status of Call]]="completed",1,0)</f>
        <v>1</v>
      </c>
      <c r="J290" s="6">
        <f>1</f>
        <v>1</v>
      </c>
      <c r="K290" s="6">
        <f>SalesData[[#This Row],[Completed calls]]/SalesData[[#This Row],[Total calls]]</f>
        <v>1</v>
      </c>
      <c r="L290" s="4">
        <f t="shared" si="17"/>
        <v>0</v>
      </c>
      <c r="M290" s="4">
        <f t="shared" si="16"/>
        <v>1</v>
      </c>
      <c r="N290" s="4">
        <f t="shared" si="18"/>
        <v>0</v>
      </c>
      <c r="O290" s="7">
        <v>46239</v>
      </c>
      <c r="P290" s="9">
        <v>46239.590717592589</v>
      </c>
      <c r="Q290" s="9">
        <v>46239.591087962966</v>
      </c>
      <c r="R290" s="6">
        <v>32</v>
      </c>
      <c r="S290" s="4">
        <f t="shared" si="19"/>
        <v>0</v>
      </c>
      <c r="T290" s="6">
        <v>1.1499999999999999</v>
      </c>
      <c r="U290" s="6" t="s">
        <v>26</v>
      </c>
      <c r="V290" s="6" t="s">
        <v>255</v>
      </c>
      <c r="W290" s="6"/>
    </row>
    <row r="291" spans="1:23" x14ac:dyDescent="0.3">
      <c r="A291" s="3" t="s">
        <v>418</v>
      </c>
      <c r="B291" s="6" t="s">
        <v>321</v>
      </c>
      <c r="C291" s="5">
        <v>8099389567</v>
      </c>
      <c r="D291" s="5">
        <v>635842546</v>
      </c>
      <c r="E291" s="6" t="s">
        <v>47</v>
      </c>
      <c r="F291" s="6" t="s">
        <v>117</v>
      </c>
      <c r="G291" s="6">
        <v>1000000032</v>
      </c>
      <c r="H291" s="6" t="s">
        <v>32</v>
      </c>
      <c r="I291" s="6">
        <f>IF(SalesData[[#This Row],[Status of Call]]="completed",1,0)</f>
        <v>1</v>
      </c>
      <c r="J291" s="6">
        <f>1</f>
        <v>1</v>
      </c>
      <c r="K291" s="6">
        <f>SalesData[[#This Row],[Completed calls]]/SalesData[[#This Row],[Total calls]]</f>
        <v>1</v>
      </c>
      <c r="L291" s="4">
        <f t="shared" si="17"/>
        <v>0</v>
      </c>
      <c r="M291" s="4">
        <f t="shared" si="16"/>
        <v>1</v>
      </c>
      <c r="N291" s="4">
        <f t="shared" si="18"/>
        <v>0</v>
      </c>
      <c r="O291" s="7">
        <v>46239</v>
      </c>
      <c r="P291" s="9">
        <v>46239.59716435185</v>
      </c>
      <c r="Q291" s="9">
        <v>46239.599502314813</v>
      </c>
      <c r="R291" s="6">
        <v>202</v>
      </c>
      <c r="S291" s="4">
        <f t="shared" si="19"/>
        <v>0</v>
      </c>
      <c r="T291" s="6">
        <v>3.85</v>
      </c>
      <c r="U291" s="6" t="s">
        <v>26</v>
      </c>
      <c r="V291" s="6" t="s">
        <v>255</v>
      </c>
      <c r="W291" s="6"/>
    </row>
    <row r="292" spans="1:23" x14ac:dyDescent="0.3">
      <c r="A292" s="3" t="s">
        <v>419</v>
      </c>
      <c r="B292" s="6" t="s">
        <v>321</v>
      </c>
      <c r="C292" s="5">
        <v>8099389567</v>
      </c>
      <c r="D292" s="5">
        <v>609906372</v>
      </c>
      <c r="E292" s="6" t="s">
        <v>68</v>
      </c>
      <c r="F292" s="6" t="s">
        <v>23</v>
      </c>
      <c r="G292" s="6">
        <v>1000000014</v>
      </c>
      <c r="H292" s="6" t="s">
        <v>32</v>
      </c>
      <c r="I292" s="6">
        <f>IF(SalesData[[#This Row],[Status of Call]]="completed",1,0)</f>
        <v>1</v>
      </c>
      <c r="J292" s="6">
        <f>1</f>
        <v>1</v>
      </c>
      <c r="K292" s="6">
        <f>SalesData[[#This Row],[Completed calls]]/SalesData[[#This Row],[Total calls]]</f>
        <v>1</v>
      </c>
      <c r="L292" s="4">
        <f t="shared" si="17"/>
        <v>0</v>
      </c>
      <c r="M292" s="4">
        <f t="shared" si="16"/>
        <v>1</v>
      </c>
      <c r="N292" s="4">
        <f t="shared" si="18"/>
        <v>0</v>
      </c>
      <c r="O292" s="7">
        <v>46239</v>
      </c>
      <c r="P292" s="9">
        <v>46239.646296296298</v>
      </c>
      <c r="Q292" s="9">
        <v>46239.646840277775</v>
      </c>
      <c r="R292" s="6">
        <v>47</v>
      </c>
      <c r="S292" s="4">
        <f t="shared" si="19"/>
        <v>0</v>
      </c>
      <c r="T292" s="6">
        <v>0.8</v>
      </c>
      <c r="U292" s="6" t="s">
        <v>26</v>
      </c>
      <c r="V292" s="6" t="s">
        <v>26</v>
      </c>
      <c r="W292" s="6"/>
    </row>
    <row r="293" spans="1:23" x14ac:dyDescent="0.3">
      <c r="A293" s="3" t="s">
        <v>420</v>
      </c>
      <c r="B293" s="6" t="s">
        <v>321</v>
      </c>
      <c r="C293" s="5">
        <v>8099389567</v>
      </c>
      <c r="D293" s="5">
        <v>901585544</v>
      </c>
      <c r="E293" s="6" t="s">
        <v>197</v>
      </c>
      <c r="F293" s="6" t="s">
        <v>45</v>
      </c>
      <c r="G293" s="6">
        <v>1000000004</v>
      </c>
      <c r="H293" s="6" t="s">
        <v>332</v>
      </c>
      <c r="I293" s="6">
        <f>IF(SalesData[[#This Row],[Status of Call]]="completed",1,0)</f>
        <v>0</v>
      </c>
      <c r="J293" s="6">
        <f>1</f>
        <v>1</v>
      </c>
      <c r="K293" s="6">
        <f>SalesData[[#This Row],[Completed calls]]/SalesData[[#This Row],[Total calls]]</f>
        <v>0</v>
      </c>
      <c r="L293" s="4">
        <f t="shared" si="17"/>
        <v>0</v>
      </c>
      <c r="M293" s="4">
        <f t="shared" si="16"/>
        <v>1</v>
      </c>
      <c r="N293" s="4">
        <f t="shared" si="18"/>
        <v>0</v>
      </c>
      <c r="O293" s="7">
        <v>46239</v>
      </c>
      <c r="P293" s="9">
        <v>46239.647592592592</v>
      </c>
      <c r="Q293" s="9">
        <v>46239.648090277777</v>
      </c>
      <c r="R293" s="6">
        <v>44</v>
      </c>
      <c r="S293" s="4">
        <f t="shared" si="19"/>
        <v>1</v>
      </c>
      <c r="T293" s="6">
        <v>0.4</v>
      </c>
      <c r="U293" s="6" t="s">
        <v>26</v>
      </c>
      <c r="V293" s="6" t="s">
        <v>183</v>
      </c>
      <c r="W293" s="6"/>
    </row>
    <row r="294" spans="1:23" x14ac:dyDescent="0.3">
      <c r="A294" s="3" t="s">
        <v>421</v>
      </c>
      <c r="B294" s="6" t="s">
        <v>321</v>
      </c>
      <c r="C294" s="5">
        <v>8099389567</v>
      </c>
      <c r="D294" s="5">
        <v>146529903</v>
      </c>
      <c r="E294" s="6" t="s">
        <v>127</v>
      </c>
      <c r="F294" s="6" t="s">
        <v>150</v>
      </c>
      <c r="G294" s="6">
        <v>1000000038</v>
      </c>
      <c r="H294" s="6" t="s">
        <v>32</v>
      </c>
      <c r="I294" s="6">
        <f>IF(SalesData[[#This Row],[Status of Call]]="completed",1,0)</f>
        <v>1</v>
      </c>
      <c r="J294" s="6">
        <f>1</f>
        <v>1</v>
      </c>
      <c r="K294" s="6">
        <f>SalesData[[#This Row],[Completed calls]]/SalesData[[#This Row],[Total calls]]</f>
        <v>1</v>
      </c>
      <c r="L294" s="4">
        <f t="shared" si="17"/>
        <v>0</v>
      </c>
      <c r="M294" s="4">
        <f t="shared" si="16"/>
        <v>1</v>
      </c>
      <c r="N294" s="4">
        <f t="shared" si="18"/>
        <v>0</v>
      </c>
      <c r="O294" s="7">
        <v>46239</v>
      </c>
      <c r="P294" s="9">
        <v>46239.649340277778</v>
      </c>
      <c r="Q294" s="9">
        <v>46239.649884259263</v>
      </c>
      <c r="R294" s="6">
        <v>46</v>
      </c>
      <c r="S294" s="4">
        <f t="shared" si="19"/>
        <v>0</v>
      </c>
      <c r="T294" s="6">
        <v>1.1499999999999999</v>
      </c>
      <c r="U294" s="6" t="s">
        <v>26</v>
      </c>
      <c r="V294" s="6" t="s">
        <v>335</v>
      </c>
      <c r="W294" s="6"/>
    </row>
    <row r="295" spans="1:23" x14ac:dyDescent="0.3">
      <c r="A295" s="3" t="s">
        <v>422</v>
      </c>
      <c r="B295" s="6" t="s">
        <v>321</v>
      </c>
      <c r="C295" s="5">
        <v>8099389567</v>
      </c>
      <c r="D295" s="5">
        <v>561715466</v>
      </c>
      <c r="E295" s="6" t="s">
        <v>66</v>
      </c>
      <c r="F295" s="6" t="s">
        <v>107</v>
      </c>
      <c r="G295" s="6">
        <v>1000000035</v>
      </c>
      <c r="H295" s="6" t="s">
        <v>32</v>
      </c>
      <c r="I295" s="6">
        <f>IF(SalesData[[#This Row],[Status of Call]]="completed",1,0)</f>
        <v>1</v>
      </c>
      <c r="J295" s="6">
        <f>1</f>
        <v>1</v>
      </c>
      <c r="K295" s="6">
        <f>SalesData[[#This Row],[Completed calls]]/SalesData[[#This Row],[Total calls]]</f>
        <v>1</v>
      </c>
      <c r="L295" s="4">
        <f t="shared" si="17"/>
        <v>0</v>
      </c>
      <c r="M295" s="4">
        <f t="shared" si="16"/>
        <v>1</v>
      </c>
      <c r="N295" s="4">
        <f t="shared" si="18"/>
        <v>0</v>
      </c>
      <c r="O295" s="7">
        <v>46239</v>
      </c>
      <c r="P295" s="9">
        <v>46239.651909722219</v>
      </c>
      <c r="Q295" s="9">
        <v>46239.654074074075</v>
      </c>
      <c r="R295" s="6">
        <v>185</v>
      </c>
      <c r="S295" s="4">
        <f t="shared" si="19"/>
        <v>0</v>
      </c>
      <c r="T295" s="6">
        <v>2.8</v>
      </c>
      <c r="U295" s="6" t="s">
        <v>26</v>
      </c>
      <c r="V295" s="6" t="s">
        <v>26</v>
      </c>
      <c r="W295" s="6"/>
    </row>
    <row r="296" spans="1:23" x14ac:dyDescent="0.3">
      <c r="A296" s="3" t="s">
        <v>423</v>
      </c>
      <c r="B296" s="10" t="s">
        <v>321</v>
      </c>
      <c r="C296" s="5">
        <v>8099389567</v>
      </c>
      <c r="D296" s="5">
        <v>210654544</v>
      </c>
      <c r="E296" s="6" t="s">
        <v>34</v>
      </c>
      <c r="F296" s="10" t="s">
        <v>93</v>
      </c>
      <c r="G296" s="10">
        <v>1000000039</v>
      </c>
      <c r="H296" s="10" t="s">
        <v>322</v>
      </c>
      <c r="I296" s="10">
        <f>IF(SalesData[[#This Row],[Status of Call]]="completed",1,0)</f>
        <v>0</v>
      </c>
      <c r="J296" s="10">
        <f>1</f>
        <v>1</v>
      </c>
      <c r="K296" s="10">
        <f>SalesData[[#This Row],[Completed calls]]/SalesData[[#This Row],[Total calls]]</f>
        <v>0</v>
      </c>
      <c r="L296" s="4">
        <f t="shared" si="17"/>
        <v>0</v>
      </c>
      <c r="M296" s="4">
        <f t="shared" si="16"/>
        <v>1</v>
      </c>
      <c r="N296" s="4">
        <f t="shared" si="18"/>
        <v>0</v>
      </c>
      <c r="O296" s="7">
        <v>46236</v>
      </c>
      <c r="P296" s="9">
        <v>46236.472094907411</v>
      </c>
      <c r="Q296" s="9">
        <v>46236.472418981481</v>
      </c>
      <c r="R296" s="10">
        <v>26</v>
      </c>
      <c r="S296" s="4">
        <f t="shared" si="19"/>
        <v>1</v>
      </c>
      <c r="T296" s="10">
        <v>0.4</v>
      </c>
      <c r="U296" s="10" t="s">
        <v>26</v>
      </c>
      <c r="V296" s="10" t="s">
        <v>26</v>
      </c>
      <c r="W296" s="6"/>
    </row>
    <row r="297" spans="1:23" x14ac:dyDescent="0.3">
      <c r="A297" s="3" t="s">
        <v>424</v>
      </c>
      <c r="B297" s="6" t="s">
        <v>321</v>
      </c>
      <c r="C297" s="5">
        <v>8099389567</v>
      </c>
      <c r="D297" s="5">
        <v>714836030</v>
      </c>
      <c r="E297" s="6" t="s">
        <v>80</v>
      </c>
      <c r="F297" s="6" t="s">
        <v>45</v>
      </c>
      <c r="G297" s="6">
        <v>1000000004</v>
      </c>
      <c r="H297" s="6" t="s">
        <v>32</v>
      </c>
      <c r="I297" s="6">
        <f>IF(SalesData[[#This Row],[Status of Call]]="completed",1,0)</f>
        <v>1</v>
      </c>
      <c r="J297" s="6">
        <f>1</f>
        <v>1</v>
      </c>
      <c r="K297" s="6">
        <f>SalesData[[#This Row],[Completed calls]]/SalesData[[#This Row],[Total calls]]</f>
        <v>1</v>
      </c>
      <c r="L297" s="4">
        <f t="shared" si="17"/>
        <v>0</v>
      </c>
      <c r="M297" s="4">
        <f t="shared" si="16"/>
        <v>1</v>
      </c>
      <c r="N297" s="4">
        <f t="shared" si="18"/>
        <v>0</v>
      </c>
      <c r="O297" s="7">
        <v>46239</v>
      </c>
      <c r="P297" s="9">
        <v>46239.660833333335</v>
      </c>
      <c r="Q297" s="9">
        <v>46239.66165509259</v>
      </c>
      <c r="R297" s="6">
        <v>70</v>
      </c>
      <c r="S297" s="4">
        <f t="shared" si="19"/>
        <v>0</v>
      </c>
      <c r="T297" s="6">
        <v>1.55</v>
      </c>
      <c r="U297" s="6" t="s">
        <v>26</v>
      </c>
      <c r="V297" s="6" t="s">
        <v>109</v>
      </c>
      <c r="W297" s="6"/>
    </row>
    <row r="298" spans="1:23" x14ac:dyDescent="0.3">
      <c r="A298" s="3" t="s">
        <v>425</v>
      </c>
      <c r="B298" s="6" t="s">
        <v>321</v>
      </c>
      <c r="C298" s="5">
        <v>8099389567</v>
      </c>
      <c r="D298" s="5">
        <v>938919105</v>
      </c>
      <c r="E298" s="6" t="s">
        <v>74</v>
      </c>
      <c r="F298" s="6" t="s">
        <v>327</v>
      </c>
      <c r="G298" s="6">
        <v>1000000021</v>
      </c>
      <c r="H298" s="6" t="s">
        <v>332</v>
      </c>
      <c r="I298" s="6">
        <f>IF(SalesData[[#This Row],[Status of Call]]="completed",1,0)</f>
        <v>0</v>
      </c>
      <c r="J298" s="6">
        <f>1</f>
        <v>1</v>
      </c>
      <c r="K298" s="6">
        <f>SalesData[[#This Row],[Completed calls]]/SalesData[[#This Row],[Total calls]]</f>
        <v>0</v>
      </c>
      <c r="L298" s="4">
        <f t="shared" si="17"/>
        <v>0</v>
      </c>
      <c r="M298" s="4">
        <f t="shared" si="16"/>
        <v>1</v>
      </c>
      <c r="N298" s="4">
        <f t="shared" si="18"/>
        <v>0</v>
      </c>
      <c r="O298" s="7">
        <v>46239</v>
      </c>
      <c r="P298" s="9">
        <v>46239.666828703703</v>
      </c>
      <c r="Q298" s="9">
        <v>46239.667314814818</v>
      </c>
      <c r="R298" s="6">
        <v>43</v>
      </c>
      <c r="S298" s="4">
        <f t="shared" si="19"/>
        <v>1</v>
      </c>
      <c r="T298" s="6">
        <v>0.4</v>
      </c>
      <c r="U298" s="6" t="s">
        <v>26</v>
      </c>
      <c r="V298" s="6" t="s">
        <v>381</v>
      </c>
      <c r="W298" s="6"/>
    </row>
    <row r="299" spans="1:23" x14ac:dyDescent="0.3">
      <c r="A299" s="3" t="s">
        <v>426</v>
      </c>
      <c r="B299" s="6" t="s">
        <v>321</v>
      </c>
      <c r="C299" s="5">
        <v>8099389567</v>
      </c>
      <c r="D299" s="5">
        <v>211180209</v>
      </c>
      <c r="E299" s="6" t="s">
        <v>77</v>
      </c>
      <c r="F299" s="6" t="s">
        <v>45</v>
      </c>
      <c r="G299" s="6">
        <v>1000000004</v>
      </c>
      <c r="H299" s="6" t="s">
        <v>322</v>
      </c>
      <c r="I299" s="6">
        <f>IF(SalesData[[#This Row],[Status of Call]]="completed",1,0)</f>
        <v>0</v>
      </c>
      <c r="J299" s="6">
        <f>1</f>
        <v>1</v>
      </c>
      <c r="K299" s="6">
        <f>SalesData[[#This Row],[Completed calls]]/SalesData[[#This Row],[Total calls]]</f>
        <v>0</v>
      </c>
      <c r="L299" s="4">
        <f t="shared" si="17"/>
        <v>0</v>
      </c>
      <c r="M299" s="4">
        <f t="shared" si="16"/>
        <v>1</v>
      </c>
      <c r="N299" s="4">
        <f t="shared" si="18"/>
        <v>0</v>
      </c>
      <c r="O299" s="7">
        <v>46239</v>
      </c>
      <c r="P299" s="9">
        <v>46239.669108796297</v>
      </c>
      <c r="Q299" s="9">
        <v>46239.669409722221</v>
      </c>
      <c r="R299" s="6">
        <v>22</v>
      </c>
      <c r="S299" s="4">
        <f t="shared" si="19"/>
        <v>1</v>
      </c>
      <c r="T299" s="6">
        <v>0.4</v>
      </c>
      <c r="U299" s="6" t="s">
        <v>26</v>
      </c>
      <c r="V299" s="6" t="s">
        <v>26</v>
      </c>
      <c r="W299" s="6"/>
    </row>
    <row r="300" spans="1:23" x14ac:dyDescent="0.3">
      <c r="A300" s="3" t="s">
        <v>427</v>
      </c>
      <c r="B300" s="6" t="s">
        <v>321</v>
      </c>
      <c r="C300" s="5">
        <v>8099389567</v>
      </c>
      <c r="D300" s="5">
        <v>339627622</v>
      </c>
      <c r="E300" s="6" t="s">
        <v>197</v>
      </c>
      <c r="F300" s="6" t="s">
        <v>82</v>
      </c>
      <c r="G300" s="6">
        <v>1000000033</v>
      </c>
      <c r="H300" s="6" t="s">
        <v>322</v>
      </c>
      <c r="I300" s="6">
        <f>IF(SalesData[[#This Row],[Status of Call]]="completed",1,0)</f>
        <v>0</v>
      </c>
      <c r="J300" s="6">
        <f>1</f>
        <v>1</v>
      </c>
      <c r="K300" s="6">
        <f>SalesData[[#This Row],[Completed calls]]/SalesData[[#This Row],[Total calls]]</f>
        <v>0</v>
      </c>
      <c r="L300" s="4">
        <f t="shared" si="17"/>
        <v>0</v>
      </c>
      <c r="M300" s="4">
        <f t="shared" si="16"/>
        <v>1</v>
      </c>
      <c r="N300" s="4">
        <f t="shared" si="18"/>
        <v>0</v>
      </c>
      <c r="O300" s="7">
        <v>46239</v>
      </c>
      <c r="P300" s="9">
        <v>46239.693553240744</v>
      </c>
      <c r="Q300" s="9">
        <v>46239.693738425929</v>
      </c>
      <c r="R300" s="6">
        <v>17</v>
      </c>
      <c r="S300" s="4">
        <f t="shared" si="19"/>
        <v>1</v>
      </c>
      <c r="T300" s="6">
        <v>0.4</v>
      </c>
      <c r="U300" s="6" t="s">
        <v>26</v>
      </c>
      <c r="V300" s="6" t="s">
        <v>428</v>
      </c>
      <c r="W300" s="6"/>
    </row>
    <row r="301" spans="1:23" x14ac:dyDescent="0.3">
      <c r="A301" s="3" t="s">
        <v>429</v>
      </c>
      <c r="B301" s="6" t="s">
        <v>321</v>
      </c>
      <c r="C301" s="5">
        <v>8099389567</v>
      </c>
      <c r="D301" s="5">
        <v>971158578</v>
      </c>
      <c r="E301" s="6" t="s">
        <v>28</v>
      </c>
      <c r="F301" s="6" t="s">
        <v>56</v>
      </c>
      <c r="G301" s="6">
        <v>1000000034</v>
      </c>
      <c r="H301" s="6" t="s">
        <v>332</v>
      </c>
      <c r="I301" s="6">
        <f>IF(SalesData[[#This Row],[Status of Call]]="completed",1,0)</f>
        <v>0</v>
      </c>
      <c r="J301" s="6">
        <f>1</f>
        <v>1</v>
      </c>
      <c r="K301" s="6">
        <f>SalesData[[#This Row],[Completed calls]]/SalesData[[#This Row],[Total calls]]</f>
        <v>0</v>
      </c>
      <c r="L301" s="4">
        <f t="shared" si="17"/>
        <v>0</v>
      </c>
      <c r="M301" s="4">
        <f t="shared" si="16"/>
        <v>1</v>
      </c>
      <c r="N301" s="4">
        <f t="shared" si="18"/>
        <v>0</v>
      </c>
      <c r="O301" s="7">
        <v>46239</v>
      </c>
      <c r="P301" s="9">
        <v>46239.695717592593</v>
      </c>
      <c r="Q301" s="9">
        <v>46239.696192129632</v>
      </c>
      <c r="R301" s="6">
        <v>42</v>
      </c>
      <c r="S301" s="4">
        <f t="shared" si="19"/>
        <v>1</v>
      </c>
      <c r="T301" s="6">
        <v>0.4</v>
      </c>
      <c r="U301" s="6" t="s">
        <v>26</v>
      </c>
      <c r="V301" s="6" t="s">
        <v>183</v>
      </c>
      <c r="W301" s="6"/>
    </row>
    <row r="302" spans="1:23" x14ac:dyDescent="0.3">
      <c r="A302" s="3" t="s">
        <v>430</v>
      </c>
      <c r="B302" s="6" t="s">
        <v>321</v>
      </c>
      <c r="C302" s="5">
        <v>8099389567</v>
      </c>
      <c r="D302" s="5">
        <v>992228097</v>
      </c>
      <c r="E302" s="6" t="s">
        <v>89</v>
      </c>
      <c r="F302" s="6" t="s">
        <v>45</v>
      </c>
      <c r="G302" s="6">
        <v>1000000004</v>
      </c>
      <c r="H302" s="6" t="s">
        <v>322</v>
      </c>
      <c r="I302" s="6">
        <f>IF(SalesData[[#This Row],[Status of Call]]="completed",1,0)</f>
        <v>0</v>
      </c>
      <c r="J302" s="6">
        <f>1</f>
        <v>1</v>
      </c>
      <c r="K302" s="6">
        <f>SalesData[[#This Row],[Completed calls]]/SalesData[[#This Row],[Total calls]]</f>
        <v>0</v>
      </c>
      <c r="L302" s="4">
        <f t="shared" si="17"/>
        <v>0</v>
      </c>
      <c r="M302" s="4">
        <f t="shared" si="16"/>
        <v>1</v>
      </c>
      <c r="N302" s="4">
        <f t="shared" si="18"/>
        <v>0</v>
      </c>
      <c r="O302" s="7">
        <v>46239</v>
      </c>
      <c r="P302" s="9">
        <v>46239.697812500002</v>
      </c>
      <c r="Q302" s="9">
        <v>46239.698217592595</v>
      </c>
      <c r="R302" s="6">
        <v>32</v>
      </c>
      <c r="S302" s="4">
        <f t="shared" si="19"/>
        <v>1</v>
      </c>
      <c r="T302" s="6">
        <v>0.4</v>
      </c>
      <c r="U302" s="6" t="s">
        <v>26</v>
      </c>
      <c r="V302" s="6" t="s">
        <v>26</v>
      </c>
      <c r="W302" s="6"/>
    </row>
    <row r="303" spans="1:23" x14ac:dyDescent="0.3">
      <c r="A303" s="3" t="s">
        <v>431</v>
      </c>
      <c r="B303" s="6" t="s">
        <v>321</v>
      </c>
      <c r="C303" s="5">
        <v>8099389567</v>
      </c>
      <c r="D303" s="5">
        <v>873916460</v>
      </c>
      <c r="E303" s="6" t="s">
        <v>48</v>
      </c>
      <c r="F303" s="6" t="s">
        <v>82</v>
      </c>
      <c r="G303" s="6">
        <v>1000000033</v>
      </c>
      <c r="H303" s="6" t="s">
        <v>332</v>
      </c>
      <c r="I303" s="6">
        <f>IF(SalesData[[#This Row],[Status of Call]]="completed",1,0)</f>
        <v>0</v>
      </c>
      <c r="J303" s="6">
        <f>1</f>
        <v>1</v>
      </c>
      <c r="K303" s="6">
        <f>SalesData[[#This Row],[Completed calls]]/SalesData[[#This Row],[Total calls]]</f>
        <v>0</v>
      </c>
      <c r="L303" s="4">
        <f t="shared" si="17"/>
        <v>0</v>
      </c>
      <c r="M303" s="4">
        <f t="shared" si="16"/>
        <v>1</v>
      </c>
      <c r="N303" s="4">
        <f t="shared" si="18"/>
        <v>0</v>
      </c>
      <c r="O303" s="7">
        <v>46239</v>
      </c>
      <c r="P303" s="9">
        <v>46239.699189814812</v>
      </c>
      <c r="Q303" s="9">
        <v>46239.699664351851</v>
      </c>
      <c r="R303" s="6">
        <v>41</v>
      </c>
      <c r="S303" s="4">
        <f t="shared" si="19"/>
        <v>1</v>
      </c>
      <c r="T303" s="6">
        <v>0.4</v>
      </c>
      <c r="U303" s="6" t="s">
        <v>26</v>
      </c>
      <c r="V303" s="6" t="s">
        <v>255</v>
      </c>
      <c r="W303" s="6"/>
    </row>
    <row r="304" spans="1:23" x14ac:dyDescent="0.3">
      <c r="A304" s="3" t="s">
        <v>432</v>
      </c>
      <c r="B304" s="6" t="s">
        <v>321</v>
      </c>
      <c r="C304" s="5">
        <v>8099389567</v>
      </c>
      <c r="D304" s="5">
        <v>266673969</v>
      </c>
      <c r="E304" s="6" t="s">
        <v>63</v>
      </c>
      <c r="F304" s="6" t="s">
        <v>84</v>
      </c>
      <c r="G304" s="6">
        <v>1000000012</v>
      </c>
      <c r="H304" s="6" t="s">
        <v>332</v>
      </c>
      <c r="I304" s="6">
        <f>IF(SalesData[[#This Row],[Status of Call]]="completed",1,0)</f>
        <v>0</v>
      </c>
      <c r="J304" s="6">
        <f>1</f>
        <v>1</v>
      </c>
      <c r="K304" s="6">
        <f>SalesData[[#This Row],[Completed calls]]/SalesData[[#This Row],[Total calls]]</f>
        <v>0</v>
      </c>
      <c r="L304" s="4">
        <f t="shared" si="17"/>
        <v>0</v>
      </c>
      <c r="M304" s="4">
        <f t="shared" si="16"/>
        <v>1</v>
      </c>
      <c r="N304" s="4">
        <f t="shared" si="18"/>
        <v>0</v>
      </c>
      <c r="O304" s="7">
        <v>46239</v>
      </c>
      <c r="P304" s="9">
        <v>46239.719942129632</v>
      </c>
      <c r="Q304" s="9">
        <v>46239.720416666663</v>
      </c>
      <c r="R304" s="6">
        <v>42</v>
      </c>
      <c r="S304" s="4">
        <f t="shared" si="19"/>
        <v>1</v>
      </c>
      <c r="T304" s="6">
        <v>0.4</v>
      </c>
      <c r="U304" s="6" t="s">
        <v>26</v>
      </c>
      <c r="V304" s="6" t="s">
        <v>206</v>
      </c>
      <c r="W304" s="6"/>
    </row>
    <row r="305" spans="1:23" x14ac:dyDescent="0.3">
      <c r="A305" s="3" t="s">
        <v>433</v>
      </c>
      <c r="B305" s="6" t="s">
        <v>321</v>
      </c>
      <c r="C305" s="5">
        <v>8099389567</v>
      </c>
      <c r="D305" s="5">
        <v>866027527</v>
      </c>
      <c r="E305" s="6" t="s">
        <v>101</v>
      </c>
      <c r="F305" s="6" t="s">
        <v>47</v>
      </c>
      <c r="G305" s="6">
        <v>1000000005</v>
      </c>
      <c r="H305" s="6" t="s">
        <v>32</v>
      </c>
      <c r="I305" s="6">
        <f>IF(SalesData[[#This Row],[Status of Call]]="completed",1,0)</f>
        <v>1</v>
      </c>
      <c r="J305" s="6">
        <f>1</f>
        <v>1</v>
      </c>
      <c r="K305" s="6">
        <f>SalesData[[#This Row],[Completed calls]]/SalesData[[#This Row],[Total calls]]</f>
        <v>1</v>
      </c>
      <c r="L305" s="4">
        <f t="shared" si="17"/>
        <v>0</v>
      </c>
      <c r="M305" s="4">
        <f t="shared" si="16"/>
        <v>1</v>
      </c>
      <c r="N305" s="4">
        <f t="shared" si="18"/>
        <v>0</v>
      </c>
      <c r="O305" s="7">
        <v>46239</v>
      </c>
      <c r="P305" s="9">
        <v>46239.724942129629</v>
      </c>
      <c r="Q305" s="9">
        <v>46239.725243055553</v>
      </c>
      <c r="R305" s="6">
        <v>31</v>
      </c>
      <c r="S305" s="4">
        <f t="shared" si="19"/>
        <v>0</v>
      </c>
      <c r="T305" s="6">
        <v>1.1499999999999999</v>
      </c>
      <c r="U305" s="6" t="s">
        <v>26</v>
      </c>
      <c r="V305" s="6" t="s">
        <v>199</v>
      </c>
      <c r="W305" s="6"/>
    </row>
    <row r="306" spans="1:23" x14ac:dyDescent="0.3">
      <c r="A306" s="3" t="s">
        <v>434</v>
      </c>
      <c r="B306" s="6" t="s">
        <v>321</v>
      </c>
      <c r="C306" s="5">
        <v>8099389567</v>
      </c>
      <c r="D306" s="5">
        <v>19005829</v>
      </c>
      <c r="E306" s="6" t="s">
        <v>170</v>
      </c>
      <c r="F306" s="6" t="s">
        <v>93</v>
      </c>
      <c r="G306" s="6">
        <v>1000000039</v>
      </c>
      <c r="H306" s="6" t="s">
        <v>32</v>
      </c>
      <c r="I306" s="6">
        <f>IF(SalesData[[#This Row],[Status of Call]]="completed",1,0)</f>
        <v>1</v>
      </c>
      <c r="J306" s="6">
        <f>1</f>
        <v>1</v>
      </c>
      <c r="K306" s="6">
        <f>SalesData[[#This Row],[Completed calls]]/SalesData[[#This Row],[Total calls]]</f>
        <v>1</v>
      </c>
      <c r="L306" s="4">
        <f t="shared" si="17"/>
        <v>0</v>
      </c>
      <c r="M306" s="4">
        <f t="shared" si="16"/>
        <v>1</v>
      </c>
      <c r="N306" s="4">
        <f t="shared" si="18"/>
        <v>0</v>
      </c>
      <c r="O306" s="7">
        <v>46239</v>
      </c>
      <c r="P306" s="9">
        <v>46239.72928240741</v>
      </c>
      <c r="Q306" s="9">
        <v>46239.729618055557</v>
      </c>
      <c r="R306" s="6">
        <v>29</v>
      </c>
      <c r="S306" s="4">
        <f t="shared" si="19"/>
        <v>0</v>
      </c>
      <c r="T306" s="6">
        <v>1.1499999999999999</v>
      </c>
      <c r="U306" s="6" t="s">
        <v>26</v>
      </c>
      <c r="V306" s="6" t="s">
        <v>335</v>
      </c>
      <c r="W306" s="6"/>
    </row>
    <row r="307" spans="1:23" x14ac:dyDescent="0.3">
      <c r="A307" s="3" t="s">
        <v>435</v>
      </c>
      <c r="B307" s="6" t="s">
        <v>321</v>
      </c>
      <c r="C307" s="5">
        <v>8099389567</v>
      </c>
      <c r="D307" s="5">
        <v>754201064</v>
      </c>
      <c r="E307" s="6" t="s">
        <v>64</v>
      </c>
      <c r="F307" s="6" t="s">
        <v>31</v>
      </c>
      <c r="G307" s="6">
        <v>1000000016</v>
      </c>
      <c r="H307" s="6" t="s">
        <v>32</v>
      </c>
      <c r="I307" s="6">
        <f>IF(SalesData[[#This Row],[Status of Call]]="completed",1,0)</f>
        <v>1</v>
      </c>
      <c r="J307" s="6">
        <f>1</f>
        <v>1</v>
      </c>
      <c r="K307" s="6">
        <f>SalesData[[#This Row],[Completed calls]]/SalesData[[#This Row],[Total calls]]</f>
        <v>1</v>
      </c>
      <c r="L307" s="4">
        <f t="shared" si="17"/>
        <v>0</v>
      </c>
      <c r="M307" s="4">
        <f t="shared" si="16"/>
        <v>1</v>
      </c>
      <c r="N307" s="4">
        <f t="shared" si="18"/>
        <v>0</v>
      </c>
      <c r="O307" s="7">
        <v>46239</v>
      </c>
      <c r="P307" s="9">
        <v>46239.770925925928</v>
      </c>
      <c r="Q307" s="9">
        <v>46239.771458333336</v>
      </c>
      <c r="R307" s="6">
        <v>46</v>
      </c>
      <c r="S307" s="4">
        <f t="shared" si="19"/>
        <v>0</v>
      </c>
      <c r="T307" s="6">
        <v>1.1499999999999999</v>
      </c>
      <c r="U307" s="6" t="s">
        <v>26</v>
      </c>
      <c r="V307" s="6" t="s">
        <v>142</v>
      </c>
      <c r="W307" s="6"/>
    </row>
    <row r="308" spans="1:23" x14ac:dyDescent="0.3">
      <c r="A308" s="3" t="s">
        <v>436</v>
      </c>
      <c r="B308" s="6" t="s">
        <v>321</v>
      </c>
      <c r="C308" s="5">
        <v>8099389567</v>
      </c>
      <c r="D308" s="5">
        <v>952755588</v>
      </c>
      <c r="E308" s="6" t="s">
        <v>104</v>
      </c>
      <c r="F308" s="6" t="s">
        <v>132</v>
      </c>
      <c r="G308" s="6">
        <v>1000000026</v>
      </c>
      <c r="H308" s="6" t="s">
        <v>32</v>
      </c>
      <c r="I308" s="6">
        <f>IF(SalesData[[#This Row],[Status of Call]]="completed",1,0)</f>
        <v>1</v>
      </c>
      <c r="J308" s="6">
        <f>1</f>
        <v>1</v>
      </c>
      <c r="K308" s="6">
        <f>SalesData[[#This Row],[Completed calls]]/SalesData[[#This Row],[Total calls]]</f>
        <v>1</v>
      </c>
      <c r="L308" s="4">
        <f t="shared" si="17"/>
        <v>0</v>
      </c>
      <c r="M308" s="4">
        <f t="shared" si="16"/>
        <v>1</v>
      </c>
      <c r="N308" s="4">
        <f t="shared" si="18"/>
        <v>0</v>
      </c>
      <c r="O308" s="7">
        <v>46239</v>
      </c>
      <c r="P308" s="9">
        <v>46239.773865740739</v>
      </c>
      <c r="Q308" s="9">
        <v>46239.780787037038</v>
      </c>
      <c r="R308" s="6">
        <v>598</v>
      </c>
      <c r="S308" s="4">
        <f t="shared" si="19"/>
        <v>0</v>
      </c>
      <c r="T308" s="6">
        <v>11.5</v>
      </c>
      <c r="U308" s="6" t="s">
        <v>26</v>
      </c>
      <c r="V308" s="6" t="s">
        <v>253</v>
      </c>
      <c r="W308" s="6"/>
    </row>
    <row r="309" spans="1:23" x14ac:dyDescent="0.3">
      <c r="A309" s="3" t="s">
        <v>437</v>
      </c>
      <c r="B309" s="6" t="s">
        <v>321</v>
      </c>
      <c r="C309" s="5">
        <v>8099389567</v>
      </c>
      <c r="D309" s="5">
        <v>57984361</v>
      </c>
      <c r="E309" s="6" t="s">
        <v>40</v>
      </c>
      <c r="F309" s="6" t="s">
        <v>48</v>
      </c>
      <c r="G309" s="6">
        <v>1000000008</v>
      </c>
      <c r="H309" s="6" t="s">
        <v>32</v>
      </c>
      <c r="I309" s="6">
        <f>IF(SalesData[[#This Row],[Status of Call]]="completed",1,0)</f>
        <v>1</v>
      </c>
      <c r="J309" s="6">
        <f>1</f>
        <v>1</v>
      </c>
      <c r="K309" s="6">
        <f>SalesData[[#This Row],[Completed calls]]/SalesData[[#This Row],[Total calls]]</f>
        <v>1</v>
      </c>
      <c r="L309" s="4">
        <f t="shared" si="17"/>
        <v>0</v>
      </c>
      <c r="M309" s="4">
        <f t="shared" si="16"/>
        <v>1</v>
      </c>
      <c r="N309" s="4">
        <f t="shared" si="18"/>
        <v>0</v>
      </c>
      <c r="O309" s="7">
        <v>46239</v>
      </c>
      <c r="P309" s="9">
        <v>46239.785671296297</v>
      </c>
      <c r="Q309" s="9">
        <v>46239.78869212963</v>
      </c>
      <c r="R309" s="6">
        <v>265</v>
      </c>
      <c r="S309" s="4">
        <f t="shared" si="19"/>
        <v>0</v>
      </c>
      <c r="T309" s="6">
        <v>5.75</v>
      </c>
      <c r="U309" s="6" t="s">
        <v>26</v>
      </c>
      <c r="V309" s="6" t="s">
        <v>438</v>
      </c>
      <c r="W309" s="6"/>
    </row>
    <row r="310" spans="1:23" x14ac:dyDescent="0.3">
      <c r="A310" s="3" t="s">
        <v>439</v>
      </c>
      <c r="B310" s="6" t="s">
        <v>321</v>
      </c>
      <c r="C310" s="5">
        <v>8099389567</v>
      </c>
      <c r="D310" s="5">
        <v>788633180</v>
      </c>
      <c r="E310" s="6" t="s">
        <v>48</v>
      </c>
      <c r="F310" s="6" t="s">
        <v>114</v>
      </c>
      <c r="G310" s="6">
        <v>1000000037</v>
      </c>
      <c r="H310" s="6" t="s">
        <v>332</v>
      </c>
      <c r="I310" s="6">
        <f>IF(SalesData[[#This Row],[Status of Call]]="completed",1,0)</f>
        <v>0</v>
      </c>
      <c r="J310" s="6">
        <f>1</f>
        <v>1</v>
      </c>
      <c r="K310" s="6">
        <f>SalesData[[#This Row],[Completed calls]]/SalesData[[#This Row],[Total calls]]</f>
        <v>0</v>
      </c>
      <c r="L310" s="4">
        <f t="shared" si="17"/>
        <v>0</v>
      </c>
      <c r="M310" s="4">
        <f t="shared" si="16"/>
        <v>1</v>
      </c>
      <c r="N310" s="4">
        <f t="shared" si="18"/>
        <v>0</v>
      </c>
      <c r="O310" s="7">
        <v>46239</v>
      </c>
      <c r="P310" s="9">
        <v>46239.792048611111</v>
      </c>
      <c r="Q310" s="9">
        <v>46239.792511574073</v>
      </c>
      <c r="R310" s="6">
        <v>40</v>
      </c>
      <c r="S310" s="4">
        <f t="shared" si="19"/>
        <v>1</v>
      </c>
      <c r="T310" s="6">
        <v>0.4</v>
      </c>
      <c r="U310" s="6" t="s">
        <v>26</v>
      </c>
      <c r="V310" s="6" t="s">
        <v>26</v>
      </c>
      <c r="W310" s="6"/>
    </row>
    <row r="311" spans="1:23" x14ac:dyDescent="0.3">
      <c r="A311" s="3" t="s">
        <v>440</v>
      </c>
      <c r="B311" s="6" t="s">
        <v>321</v>
      </c>
      <c r="C311" s="5">
        <v>8099389567</v>
      </c>
      <c r="D311" s="5">
        <v>134714357</v>
      </c>
      <c r="E311" s="6" t="s">
        <v>170</v>
      </c>
      <c r="F311" s="6" t="s">
        <v>31</v>
      </c>
      <c r="G311" s="6">
        <v>1000000016</v>
      </c>
      <c r="H311" s="6" t="s">
        <v>32</v>
      </c>
      <c r="I311" s="6">
        <f>IF(SalesData[[#This Row],[Status of Call]]="completed",1,0)</f>
        <v>1</v>
      </c>
      <c r="J311" s="6">
        <f>1</f>
        <v>1</v>
      </c>
      <c r="K311" s="6">
        <f>SalesData[[#This Row],[Completed calls]]/SalesData[[#This Row],[Total calls]]</f>
        <v>1</v>
      </c>
      <c r="L311" s="4">
        <f t="shared" si="17"/>
        <v>0</v>
      </c>
      <c r="M311" s="4">
        <f t="shared" si="16"/>
        <v>1</v>
      </c>
      <c r="N311" s="4">
        <f t="shared" si="18"/>
        <v>0</v>
      </c>
      <c r="O311" s="7">
        <v>46239</v>
      </c>
      <c r="P311" s="9">
        <v>46239.793310185189</v>
      </c>
      <c r="Q311" s="9">
        <v>46239.793587962966</v>
      </c>
      <c r="R311" s="6">
        <v>25</v>
      </c>
      <c r="S311" s="4">
        <f t="shared" si="19"/>
        <v>0</v>
      </c>
      <c r="T311" s="6">
        <v>0.8</v>
      </c>
      <c r="U311" s="6" t="s">
        <v>26</v>
      </c>
      <c r="V311" s="6" t="s">
        <v>26</v>
      </c>
      <c r="W311" s="6"/>
    </row>
    <row r="312" spans="1:23" x14ac:dyDescent="0.3">
      <c r="A312" s="3" t="s">
        <v>441</v>
      </c>
      <c r="B312" s="6" t="s">
        <v>321</v>
      </c>
      <c r="C312" s="5">
        <v>8099389567</v>
      </c>
      <c r="D312" s="5">
        <v>944589480</v>
      </c>
      <c r="E312" s="6" t="s">
        <v>97</v>
      </c>
      <c r="F312" s="6" t="s">
        <v>150</v>
      </c>
      <c r="G312" s="6">
        <v>1000000038</v>
      </c>
      <c r="H312" s="6" t="s">
        <v>32</v>
      </c>
      <c r="I312" s="6">
        <f>IF(SalesData[[#This Row],[Status of Call]]="completed",1,0)</f>
        <v>1</v>
      </c>
      <c r="J312" s="6">
        <f>1</f>
        <v>1</v>
      </c>
      <c r="K312" s="6">
        <f>SalesData[[#This Row],[Completed calls]]/SalesData[[#This Row],[Total calls]]</f>
        <v>1</v>
      </c>
      <c r="L312" s="4">
        <f t="shared" si="17"/>
        <v>0</v>
      </c>
      <c r="M312" s="4">
        <f t="shared" si="16"/>
        <v>1</v>
      </c>
      <c r="N312" s="4">
        <f t="shared" si="18"/>
        <v>0</v>
      </c>
      <c r="O312" s="7">
        <v>46239</v>
      </c>
      <c r="P312" s="9">
        <v>46239.794351851851</v>
      </c>
      <c r="Q312" s="9">
        <v>46239.796423611115</v>
      </c>
      <c r="R312" s="6">
        <v>185</v>
      </c>
      <c r="S312" s="4">
        <f t="shared" si="19"/>
        <v>0</v>
      </c>
      <c r="T312" s="6">
        <v>2.4</v>
      </c>
      <c r="U312" s="6" t="s">
        <v>26</v>
      </c>
      <c r="V312" s="6" t="s">
        <v>26</v>
      </c>
      <c r="W312" s="6"/>
    </row>
    <row r="313" spans="1:23" x14ac:dyDescent="0.3">
      <c r="A313" s="3" t="s">
        <v>442</v>
      </c>
      <c r="B313" s="6" t="s">
        <v>321</v>
      </c>
      <c r="C313" s="5">
        <v>8099389567</v>
      </c>
      <c r="D313" s="5">
        <v>766542994</v>
      </c>
      <c r="E313" s="6" t="s">
        <v>225</v>
      </c>
      <c r="F313" s="6" t="s">
        <v>223</v>
      </c>
      <c r="H313" s="6" t="s">
        <v>32</v>
      </c>
      <c r="I313" s="6">
        <f>IF(SalesData[[#This Row],[Status of Call]]="completed",1,0)</f>
        <v>1</v>
      </c>
      <c r="J313" s="6">
        <f>1</f>
        <v>1</v>
      </c>
      <c r="K313" s="6">
        <f>SalesData[[#This Row],[Completed calls]]/SalesData[[#This Row],[Total calls]]</f>
        <v>1</v>
      </c>
      <c r="L313" s="4">
        <f t="shared" si="17"/>
        <v>0</v>
      </c>
      <c r="M313" s="4">
        <f t="shared" si="16"/>
        <v>1</v>
      </c>
      <c r="N313" s="4">
        <f t="shared" si="18"/>
        <v>0</v>
      </c>
      <c r="O313" s="7">
        <v>46239</v>
      </c>
      <c r="P313" s="9">
        <v>46239.801307870373</v>
      </c>
      <c r="Q313" s="9">
        <v>46239.801712962966</v>
      </c>
      <c r="R313" s="6">
        <v>34</v>
      </c>
      <c r="S313" s="4">
        <f t="shared" si="19"/>
        <v>0</v>
      </c>
      <c r="T313" s="6">
        <v>1.1499999999999999</v>
      </c>
      <c r="U313" s="6" t="s">
        <v>26</v>
      </c>
      <c r="V313" s="6" t="s">
        <v>142</v>
      </c>
      <c r="W313" s="6"/>
    </row>
    <row r="314" spans="1:23" x14ac:dyDescent="0.3">
      <c r="A314" s="3" t="s">
        <v>443</v>
      </c>
      <c r="B314" s="6" t="s">
        <v>321</v>
      </c>
      <c r="C314" s="5">
        <v>8099389567</v>
      </c>
      <c r="D314" s="5">
        <v>311564965</v>
      </c>
      <c r="E314" s="6" t="s">
        <v>225</v>
      </c>
      <c r="F314" s="6" t="s">
        <v>223</v>
      </c>
      <c r="H314" s="6" t="s">
        <v>32</v>
      </c>
      <c r="I314" s="6">
        <f>IF(SalesData[[#This Row],[Status of Call]]="completed",1,0)</f>
        <v>1</v>
      </c>
      <c r="J314" s="6">
        <f>1</f>
        <v>1</v>
      </c>
      <c r="K314" s="6">
        <f>SalesData[[#This Row],[Completed calls]]/SalesData[[#This Row],[Total calls]]</f>
        <v>1</v>
      </c>
      <c r="L314" s="4">
        <f t="shared" si="17"/>
        <v>0</v>
      </c>
      <c r="M314" s="4">
        <f t="shared" si="16"/>
        <v>1</v>
      </c>
      <c r="N314" s="4">
        <f t="shared" si="18"/>
        <v>0</v>
      </c>
      <c r="O314" s="7">
        <v>46239</v>
      </c>
      <c r="P314" s="9">
        <v>46239.801817129628</v>
      </c>
      <c r="Q314" s="9">
        <v>46239.80201388889</v>
      </c>
      <c r="R314" s="6">
        <v>18</v>
      </c>
      <c r="S314" s="4">
        <f t="shared" si="19"/>
        <v>0</v>
      </c>
      <c r="T314" s="6">
        <v>1.1499999999999999</v>
      </c>
      <c r="U314" s="6" t="s">
        <v>26</v>
      </c>
      <c r="V314" s="6" t="s">
        <v>142</v>
      </c>
      <c r="W314" s="6"/>
    </row>
    <row r="315" spans="1:23" x14ac:dyDescent="0.3">
      <c r="A315" s="3" t="s">
        <v>444</v>
      </c>
      <c r="B315" s="6" t="s">
        <v>321</v>
      </c>
      <c r="C315" s="5">
        <v>8099389567</v>
      </c>
      <c r="D315" s="5">
        <v>163749394</v>
      </c>
      <c r="E315" s="6" t="s">
        <v>225</v>
      </c>
      <c r="F315" s="6" t="s">
        <v>223</v>
      </c>
      <c r="H315" s="6" t="s">
        <v>322</v>
      </c>
      <c r="I315" s="6">
        <f>IF(SalesData[[#This Row],[Status of Call]]="completed",1,0)</f>
        <v>0</v>
      </c>
      <c r="J315" s="6">
        <f>1</f>
        <v>1</v>
      </c>
      <c r="K315" s="6">
        <f>SalesData[[#This Row],[Completed calls]]/SalesData[[#This Row],[Total calls]]</f>
        <v>0</v>
      </c>
      <c r="L315" s="4">
        <f t="shared" si="17"/>
        <v>0</v>
      </c>
      <c r="M315" s="4">
        <f t="shared" si="16"/>
        <v>1</v>
      </c>
      <c r="N315" s="4">
        <f t="shared" si="18"/>
        <v>0</v>
      </c>
      <c r="O315" s="7">
        <v>46239</v>
      </c>
      <c r="P315" s="9">
        <v>46239.802581018521</v>
      </c>
      <c r="Q315" s="9">
        <v>46239.802835648145</v>
      </c>
      <c r="R315" s="6">
        <v>22</v>
      </c>
      <c r="S315" s="4">
        <f t="shared" si="19"/>
        <v>1</v>
      </c>
      <c r="T315" s="6">
        <v>0.4</v>
      </c>
      <c r="U315" s="6" t="s">
        <v>26</v>
      </c>
      <c r="V315" s="6" t="s">
        <v>188</v>
      </c>
      <c r="W315" s="6"/>
    </row>
    <row r="316" spans="1:23" x14ac:dyDescent="0.3">
      <c r="A316" s="3" t="s">
        <v>445</v>
      </c>
      <c r="B316" s="6" t="s">
        <v>321</v>
      </c>
      <c r="C316" s="5">
        <v>8099389567</v>
      </c>
      <c r="D316" s="5">
        <v>401902227</v>
      </c>
      <c r="E316" s="6" t="s">
        <v>225</v>
      </c>
      <c r="F316" s="6" t="s">
        <v>223</v>
      </c>
      <c r="H316" s="6" t="s">
        <v>322</v>
      </c>
      <c r="I316" s="6">
        <f>IF(SalesData[[#This Row],[Status of Call]]="completed",1,0)</f>
        <v>0</v>
      </c>
      <c r="J316" s="6">
        <f>1</f>
        <v>1</v>
      </c>
      <c r="K316" s="6">
        <f>SalesData[[#This Row],[Completed calls]]/SalesData[[#This Row],[Total calls]]</f>
        <v>0</v>
      </c>
      <c r="L316" s="4">
        <f t="shared" si="17"/>
        <v>0</v>
      </c>
      <c r="M316" s="4">
        <f t="shared" si="16"/>
        <v>1</v>
      </c>
      <c r="N316" s="4">
        <f t="shared" si="18"/>
        <v>0</v>
      </c>
      <c r="O316" s="7">
        <v>46239</v>
      </c>
      <c r="P316" s="9">
        <v>46239.805671296293</v>
      </c>
      <c r="Q316" s="9">
        <v>46239.806122685186</v>
      </c>
      <c r="R316" s="6">
        <v>39</v>
      </c>
      <c r="S316" s="4">
        <f t="shared" si="19"/>
        <v>1</v>
      </c>
      <c r="T316" s="6">
        <v>0.4</v>
      </c>
      <c r="U316" s="6" t="s">
        <v>26</v>
      </c>
      <c r="V316" s="6" t="s">
        <v>255</v>
      </c>
      <c r="W316" s="6"/>
    </row>
    <row r="317" spans="1:23" x14ac:dyDescent="0.3">
      <c r="A317" s="3" t="s">
        <v>446</v>
      </c>
      <c r="B317" s="6" t="s">
        <v>321</v>
      </c>
      <c r="C317" s="5">
        <v>8099389567</v>
      </c>
      <c r="D317" s="5">
        <v>797500128</v>
      </c>
      <c r="E317" s="6" t="s">
        <v>225</v>
      </c>
      <c r="F317" s="6" t="s">
        <v>223</v>
      </c>
      <c r="H317" s="6" t="s">
        <v>32</v>
      </c>
      <c r="I317" s="6">
        <f>IF(SalesData[[#This Row],[Status of Call]]="completed",1,0)</f>
        <v>1</v>
      </c>
      <c r="J317" s="6">
        <f>1</f>
        <v>1</v>
      </c>
      <c r="K317" s="6">
        <f>SalesData[[#This Row],[Completed calls]]/SalesData[[#This Row],[Total calls]]</f>
        <v>1</v>
      </c>
      <c r="L317" s="4">
        <f t="shared" si="17"/>
        <v>0</v>
      </c>
      <c r="M317" s="4">
        <f t="shared" si="16"/>
        <v>1</v>
      </c>
      <c r="N317" s="4">
        <f t="shared" si="18"/>
        <v>0</v>
      </c>
      <c r="O317" s="7">
        <v>46239</v>
      </c>
      <c r="P317" s="9">
        <v>46239.807175925926</v>
      </c>
      <c r="Q317" s="9">
        <v>46239.807395833333</v>
      </c>
      <c r="R317" s="6">
        <v>19</v>
      </c>
      <c r="S317" s="4">
        <f t="shared" si="19"/>
        <v>0</v>
      </c>
      <c r="T317" s="6">
        <v>1.1499999999999999</v>
      </c>
      <c r="U317" s="6" t="s">
        <v>26</v>
      </c>
      <c r="V317" s="6" t="s">
        <v>206</v>
      </c>
      <c r="W317" s="6"/>
    </row>
    <row r="318" spans="1:23" x14ac:dyDescent="0.3">
      <c r="A318" s="3" t="s">
        <v>447</v>
      </c>
      <c r="B318" s="6" t="s">
        <v>321</v>
      </c>
      <c r="C318" s="5">
        <v>8099389567</v>
      </c>
      <c r="D318" s="5">
        <v>209108009</v>
      </c>
      <c r="E318" s="6" t="s">
        <v>225</v>
      </c>
      <c r="F318" s="6" t="s">
        <v>223</v>
      </c>
      <c r="H318" s="6" t="s">
        <v>32</v>
      </c>
      <c r="I318" s="6">
        <f>IF(SalesData[[#This Row],[Status of Call]]="completed",1,0)</f>
        <v>1</v>
      </c>
      <c r="J318" s="6">
        <f>1</f>
        <v>1</v>
      </c>
      <c r="K318" s="6">
        <f>SalesData[[#This Row],[Completed calls]]/SalesData[[#This Row],[Total calls]]</f>
        <v>1</v>
      </c>
      <c r="L318" s="4">
        <f t="shared" si="17"/>
        <v>0</v>
      </c>
      <c r="M318" s="4">
        <f t="shared" si="16"/>
        <v>1</v>
      </c>
      <c r="N318" s="4">
        <f t="shared" si="18"/>
        <v>0</v>
      </c>
      <c r="O318" s="7">
        <v>46239</v>
      </c>
      <c r="P318" s="9">
        <v>46239.80809027778</v>
      </c>
      <c r="Q318" s="9">
        <v>46239.808715277781</v>
      </c>
      <c r="R318" s="6">
        <v>54</v>
      </c>
      <c r="S318" s="4">
        <f t="shared" si="19"/>
        <v>0</v>
      </c>
      <c r="T318" s="6">
        <v>1.1499999999999999</v>
      </c>
      <c r="U318" s="6" t="s">
        <v>26</v>
      </c>
      <c r="V318" s="6" t="s">
        <v>206</v>
      </c>
      <c r="W318" s="6"/>
    </row>
    <row r="319" spans="1:23" x14ac:dyDescent="0.3">
      <c r="A319" s="3" t="s">
        <v>448</v>
      </c>
      <c r="B319" s="6" t="s">
        <v>321</v>
      </c>
      <c r="C319" s="5">
        <v>8099389567</v>
      </c>
      <c r="D319" s="5">
        <v>517260352</v>
      </c>
      <c r="E319" s="6" t="s">
        <v>225</v>
      </c>
      <c r="F319" s="6" t="s">
        <v>223</v>
      </c>
      <c r="H319" s="6" t="s">
        <v>322</v>
      </c>
      <c r="I319" s="6">
        <f>IF(SalesData[[#This Row],[Status of Call]]="completed",1,0)</f>
        <v>0</v>
      </c>
      <c r="J319" s="6">
        <f>1</f>
        <v>1</v>
      </c>
      <c r="K319" s="6">
        <f>SalesData[[#This Row],[Completed calls]]/SalesData[[#This Row],[Total calls]]</f>
        <v>0</v>
      </c>
      <c r="L319" s="4">
        <f t="shared" si="17"/>
        <v>0</v>
      </c>
      <c r="M319" s="4">
        <f t="shared" si="16"/>
        <v>1</v>
      </c>
      <c r="N319" s="4">
        <f t="shared" si="18"/>
        <v>0</v>
      </c>
      <c r="O319" s="7">
        <v>46239</v>
      </c>
      <c r="P319" s="9">
        <v>46239.825462962966</v>
      </c>
      <c r="Q319" s="9">
        <v>46239.825659722221</v>
      </c>
      <c r="R319" s="6">
        <v>18</v>
      </c>
      <c r="S319" s="4">
        <f t="shared" si="19"/>
        <v>1</v>
      </c>
      <c r="T319" s="6">
        <v>0.4</v>
      </c>
      <c r="U319" s="6" t="s">
        <v>26</v>
      </c>
      <c r="V319" s="6" t="s">
        <v>42</v>
      </c>
      <c r="W319" s="6"/>
    </row>
    <row r="320" spans="1:23" x14ac:dyDescent="0.3">
      <c r="A320" s="3" t="s">
        <v>449</v>
      </c>
      <c r="B320" s="10" t="s">
        <v>321</v>
      </c>
      <c r="C320" s="5">
        <v>8099389567</v>
      </c>
      <c r="D320" s="5">
        <v>699823652</v>
      </c>
      <c r="E320" s="6" t="s">
        <v>101</v>
      </c>
      <c r="F320" s="10" t="s">
        <v>95</v>
      </c>
      <c r="G320" s="10">
        <v>1000000013</v>
      </c>
      <c r="H320" s="10" t="s">
        <v>32</v>
      </c>
      <c r="I320" s="10">
        <f>IF(SalesData[[#This Row],[Status of Call]]="completed",1,0)</f>
        <v>1</v>
      </c>
      <c r="J320" s="10">
        <f>1</f>
        <v>1</v>
      </c>
      <c r="K320" s="10">
        <f>SalesData[[#This Row],[Completed calls]]/SalesData[[#This Row],[Total calls]]</f>
        <v>1</v>
      </c>
      <c r="L320" s="4">
        <f t="shared" si="17"/>
        <v>0</v>
      </c>
      <c r="M320" s="4">
        <f t="shared" si="16"/>
        <v>1</v>
      </c>
      <c r="N320" s="4">
        <f t="shared" si="18"/>
        <v>0</v>
      </c>
      <c r="O320" s="7">
        <v>46236</v>
      </c>
      <c r="P320" s="9">
        <v>46236.492569444446</v>
      </c>
      <c r="Q320" s="9">
        <v>46236.495046296295</v>
      </c>
      <c r="R320" s="10">
        <v>213</v>
      </c>
      <c r="S320" s="4">
        <f t="shared" si="19"/>
        <v>0</v>
      </c>
      <c r="T320" s="10">
        <v>2.8</v>
      </c>
      <c r="U320" s="10" t="s">
        <v>26</v>
      </c>
      <c r="V320" s="10" t="s">
        <v>26</v>
      </c>
      <c r="W320" s="6"/>
    </row>
    <row r="321" spans="1:23" x14ac:dyDescent="0.3">
      <c r="A321" s="3" t="s">
        <v>450</v>
      </c>
      <c r="B321" s="6" t="s">
        <v>321</v>
      </c>
      <c r="C321" s="5">
        <v>8099389567</v>
      </c>
      <c r="D321" s="5">
        <v>639566990</v>
      </c>
      <c r="E321" s="6" t="s">
        <v>225</v>
      </c>
      <c r="F321" s="6" t="s">
        <v>223</v>
      </c>
      <c r="H321" s="6" t="s">
        <v>332</v>
      </c>
      <c r="I321" s="6">
        <f>IF(SalesData[[#This Row],[Status of Call]]="completed",1,0)</f>
        <v>0</v>
      </c>
      <c r="J321" s="6">
        <f>1</f>
        <v>1</v>
      </c>
      <c r="K321" s="6">
        <f>SalesData[[#This Row],[Completed calls]]/SalesData[[#This Row],[Total calls]]</f>
        <v>0</v>
      </c>
      <c r="L321" s="4">
        <f t="shared" si="17"/>
        <v>0</v>
      </c>
      <c r="M321" s="4">
        <f t="shared" si="16"/>
        <v>1</v>
      </c>
      <c r="N321" s="4">
        <f t="shared" si="18"/>
        <v>0</v>
      </c>
      <c r="O321" s="7">
        <v>46239</v>
      </c>
      <c r="P321" s="9">
        <v>46239.835173611114</v>
      </c>
      <c r="Q321" s="9">
        <v>46239.835659722223</v>
      </c>
      <c r="R321" s="6">
        <v>43</v>
      </c>
      <c r="S321" s="4">
        <f t="shared" si="19"/>
        <v>1</v>
      </c>
      <c r="T321" s="6">
        <v>0.4</v>
      </c>
      <c r="U321" s="6" t="s">
        <v>26</v>
      </c>
      <c r="V321" s="6" t="s">
        <v>142</v>
      </c>
      <c r="W321" s="6"/>
    </row>
    <row r="322" spans="1:23" x14ac:dyDescent="0.3">
      <c r="A322" s="3" t="s">
        <v>451</v>
      </c>
      <c r="B322" s="10" t="s">
        <v>321</v>
      </c>
      <c r="C322" s="5">
        <v>8099389567</v>
      </c>
      <c r="D322" s="5">
        <v>623232010</v>
      </c>
      <c r="E322" s="6" t="s">
        <v>38</v>
      </c>
      <c r="F322" s="10" t="s">
        <v>192</v>
      </c>
      <c r="G322" s="10">
        <v>1000000027</v>
      </c>
      <c r="H322" s="10" t="s">
        <v>32</v>
      </c>
      <c r="I322" s="10">
        <f>IF(SalesData[[#This Row],[Status of Call]]="completed",1,0)</f>
        <v>1</v>
      </c>
      <c r="J322" s="10">
        <f>1</f>
        <v>1</v>
      </c>
      <c r="K322" s="10">
        <f>SalesData[[#This Row],[Completed calls]]/SalesData[[#This Row],[Total calls]]</f>
        <v>1</v>
      </c>
      <c r="L322" s="4">
        <f t="shared" si="17"/>
        <v>0</v>
      </c>
      <c r="M322" s="4">
        <f t="shared" ref="M322:M369" si="20">IF(B322="Outgoing",1,0)</f>
        <v>1</v>
      </c>
      <c r="N322" s="4">
        <f t="shared" si="18"/>
        <v>0</v>
      </c>
      <c r="O322" s="7">
        <v>46236</v>
      </c>
      <c r="P322" s="9">
        <v>46236.504942129628</v>
      </c>
      <c r="Q322" s="9">
        <v>46236.507222222222</v>
      </c>
      <c r="R322" s="10">
        <v>202</v>
      </c>
      <c r="S322" s="4">
        <f t="shared" si="19"/>
        <v>0</v>
      </c>
      <c r="T322" s="10">
        <v>4.5999999999999996</v>
      </c>
      <c r="U322" s="10" t="s">
        <v>26</v>
      </c>
      <c r="V322" s="10" t="s">
        <v>163</v>
      </c>
      <c r="W322" s="6"/>
    </row>
    <row r="323" spans="1:23" x14ac:dyDescent="0.3">
      <c r="A323" s="3" t="s">
        <v>452</v>
      </c>
      <c r="B323" s="6" t="s">
        <v>321</v>
      </c>
      <c r="C323" s="5">
        <v>8099389567</v>
      </c>
      <c r="D323" s="5">
        <v>857435580</v>
      </c>
      <c r="E323" s="6" t="s">
        <v>233</v>
      </c>
      <c r="F323" s="6" t="s">
        <v>223</v>
      </c>
      <c r="H323" s="6" t="s">
        <v>322</v>
      </c>
      <c r="I323" s="6">
        <f>IF(SalesData[[#This Row],[Status of Call]]="completed",1,0)</f>
        <v>0</v>
      </c>
      <c r="J323" s="6">
        <f>1</f>
        <v>1</v>
      </c>
      <c r="K323" s="6">
        <f>SalesData[[#This Row],[Completed calls]]/SalesData[[#This Row],[Total calls]]</f>
        <v>0</v>
      </c>
      <c r="L323" s="4">
        <f t="shared" ref="L323:L369" si="21">IF(B323="incoming",1,0)</f>
        <v>0</v>
      </c>
      <c r="M323" s="4">
        <f t="shared" si="20"/>
        <v>1</v>
      </c>
      <c r="N323" s="4">
        <f t="shared" ref="N323:N368" si="22">IF(AND(B323="Incoming",H323="Completed"),1,0)</f>
        <v>0</v>
      </c>
      <c r="O323" s="7">
        <v>46240</v>
      </c>
      <c r="P323" s="9">
        <v>46240.731944444444</v>
      </c>
      <c r="Q323" s="9">
        <v>46240.732210648152</v>
      </c>
      <c r="R323" s="6">
        <v>23</v>
      </c>
      <c r="S323" s="4">
        <f t="shared" ref="S323:S368" si="23">IF(OR(H323="failed",H323="no-answer",H323="missed-call"),1,0)</f>
        <v>1</v>
      </c>
      <c r="T323" s="6">
        <v>0.4</v>
      </c>
      <c r="U323" s="6" t="s">
        <v>26</v>
      </c>
      <c r="V323" s="6" t="s">
        <v>26</v>
      </c>
      <c r="W323" s="6"/>
    </row>
    <row r="324" spans="1:23" x14ac:dyDescent="0.3">
      <c r="A324" s="3" t="s">
        <v>453</v>
      </c>
      <c r="B324" s="6" t="s">
        <v>321</v>
      </c>
      <c r="C324" s="5">
        <v>8099389567</v>
      </c>
      <c r="D324" s="5">
        <v>202079196</v>
      </c>
      <c r="E324" s="6" t="s">
        <v>251</v>
      </c>
      <c r="F324" s="6" t="s">
        <v>223</v>
      </c>
      <c r="H324" s="6" t="s">
        <v>32</v>
      </c>
      <c r="I324" s="6">
        <f>IF(SalesData[[#This Row],[Status of Call]]="completed",1,0)</f>
        <v>1</v>
      </c>
      <c r="J324" s="6">
        <f>1</f>
        <v>1</v>
      </c>
      <c r="K324" s="6">
        <f>SalesData[[#This Row],[Completed calls]]/SalesData[[#This Row],[Total calls]]</f>
        <v>1</v>
      </c>
      <c r="L324" s="4">
        <f t="shared" si="21"/>
        <v>0</v>
      </c>
      <c r="M324" s="4">
        <f t="shared" si="20"/>
        <v>1</v>
      </c>
      <c r="N324" s="4">
        <f t="shared" si="22"/>
        <v>0</v>
      </c>
      <c r="O324" s="7">
        <v>46240</v>
      </c>
      <c r="P324" s="9">
        <v>46240.862476851849</v>
      </c>
      <c r="Q324" s="9">
        <v>46240.862905092596</v>
      </c>
      <c r="R324" s="6">
        <v>37</v>
      </c>
      <c r="S324" s="4">
        <f t="shared" si="23"/>
        <v>0</v>
      </c>
      <c r="T324" s="6">
        <v>0.8</v>
      </c>
      <c r="U324" s="6" t="s">
        <v>26</v>
      </c>
      <c r="V324" s="6" t="s">
        <v>26</v>
      </c>
      <c r="W324" s="6"/>
    </row>
    <row r="325" spans="1:23" x14ac:dyDescent="0.3">
      <c r="A325" s="3" t="s">
        <v>454</v>
      </c>
      <c r="B325" s="6" t="s">
        <v>321</v>
      </c>
      <c r="C325" s="5">
        <v>8099389567</v>
      </c>
      <c r="D325" s="5">
        <v>732065404</v>
      </c>
      <c r="E325" s="6" t="s">
        <v>265</v>
      </c>
      <c r="F325" s="6" t="s">
        <v>223</v>
      </c>
      <c r="H325" s="6" t="s">
        <v>32</v>
      </c>
      <c r="I325" s="6">
        <f>IF(SalesData[[#This Row],[Status of Call]]="completed",1,0)</f>
        <v>1</v>
      </c>
      <c r="J325" s="6">
        <f>1</f>
        <v>1</v>
      </c>
      <c r="K325" s="6">
        <f>SalesData[[#This Row],[Completed calls]]/SalesData[[#This Row],[Total calls]]</f>
        <v>1</v>
      </c>
      <c r="L325" s="4">
        <f t="shared" si="21"/>
        <v>0</v>
      </c>
      <c r="M325" s="4">
        <f t="shared" si="20"/>
        <v>1</v>
      </c>
      <c r="N325" s="4">
        <f t="shared" si="22"/>
        <v>0</v>
      </c>
      <c r="O325" s="7">
        <v>46240</v>
      </c>
      <c r="P325" s="9">
        <v>46240.895069444443</v>
      </c>
      <c r="Q325" s="9">
        <v>46240.897349537037</v>
      </c>
      <c r="R325" s="6">
        <v>197</v>
      </c>
      <c r="S325" s="4">
        <f t="shared" si="23"/>
        <v>0</v>
      </c>
      <c r="T325" s="6">
        <v>3.85</v>
      </c>
      <c r="U325" s="6" t="s">
        <v>26</v>
      </c>
      <c r="V325" s="6" t="s">
        <v>255</v>
      </c>
      <c r="W325" s="6"/>
    </row>
    <row r="326" spans="1:23" x14ac:dyDescent="0.3">
      <c r="A326" s="3" t="s">
        <v>455</v>
      </c>
      <c r="B326" s="6" t="s">
        <v>321</v>
      </c>
      <c r="C326" s="5">
        <v>8099389567</v>
      </c>
      <c r="D326" s="5">
        <v>804661745</v>
      </c>
      <c r="E326" s="6" t="s">
        <v>233</v>
      </c>
      <c r="F326" s="6" t="s">
        <v>223</v>
      </c>
      <c r="H326" s="6" t="s">
        <v>322</v>
      </c>
      <c r="I326" s="6">
        <f>IF(SalesData[[#This Row],[Status of Call]]="completed",1,0)</f>
        <v>0</v>
      </c>
      <c r="J326" s="6">
        <f>1</f>
        <v>1</v>
      </c>
      <c r="K326" s="6">
        <f>SalesData[[#This Row],[Completed calls]]/SalesData[[#This Row],[Total calls]]</f>
        <v>0</v>
      </c>
      <c r="L326" s="4">
        <f t="shared" si="21"/>
        <v>0</v>
      </c>
      <c r="M326" s="4">
        <f t="shared" si="20"/>
        <v>1</v>
      </c>
      <c r="N326" s="4">
        <f t="shared" si="22"/>
        <v>0</v>
      </c>
      <c r="O326" s="7">
        <v>46240</v>
      </c>
      <c r="P326" s="9">
        <v>46240.991261574076</v>
      </c>
      <c r="Q326" s="9">
        <v>46240.991493055553</v>
      </c>
      <c r="R326" s="6">
        <v>21</v>
      </c>
      <c r="S326" s="4">
        <f t="shared" si="23"/>
        <v>1</v>
      </c>
      <c r="T326" s="6">
        <v>0.4</v>
      </c>
      <c r="U326" s="6" t="s">
        <v>26</v>
      </c>
      <c r="V326" s="6" t="s">
        <v>26</v>
      </c>
      <c r="W326" s="6"/>
    </row>
    <row r="327" spans="1:23" x14ac:dyDescent="0.3">
      <c r="A327" s="3" t="s">
        <v>456</v>
      </c>
      <c r="B327" s="10" t="s">
        <v>321</v>
      </c>
      <c r="C327" s="5">
        <v>8099389567</v>
      </c>
      <c r="D327" s="5">
        <v>535313142</v>
      </c>
      <c r="E327" s="6" t="s">
        <v>28</v>
      </c>
      <c r="F327" s="10" t="s">
        <v>135</v>
      </c>
      <c r="G327" s="10">
        <v>1000000029</v>
      </c>
      <c r="H327" s="10" t="s">
        <v>332</v>
      </c>
      <c r="I327" s="10">
        <f>IF(SalesData[[#This Row],[Status of Call]]="completed",1,0)</f>
        <v>0</v>
      </c>
      <c r="J327" s="10">
        <f>1</f>
        <v>1</v>
      </c>
      <c r="K327" s="10">
        <f>SalesData[[#This Row],[Completed calls]]/SalesData[[#This Row],[Total calls]]</f>
        <v>0</v>
      </c>
      <c r="L327" s="4">
        <f t="shared" si="21"/>
        <v>0</v>
      </c>
      <c r="M327" s="4">
        <f t="shared" si="20"/>
        <v>1</v>
      </c>
      <c r="N327" s="4">
        <f t="shared" si="22"/>
        <v>0</v>
      </c>
      <c r="O327" s="7">
        <v>46236</v>
      </c>
      <c r="P327" s="9">
        <v>46236.518310185187</v>
      </c>
      <c r="Q327" s="9">
        <v>46236.518831018519</v>
      </c>
      <c r="R327" s="10">
        <v>43</v>
      </c>
      <c r="S327" s="4">
        <f t="shared" si="23"/>
        <v>1</v>
      </c>
      <c r="T327" s="10">
        <v>0.4</v>
      </c>
      <c r="U327" s="10" t="s">
        <v>26</v>
      </c>
      <c r="V327" s="10" t="s">
        <v>26</v>
      </c>
      <c r="W327" s="6"/>
    </row>
    <row r="328" spans="1:23" x14ac:dyDescent="0.3">
      <c r="A328" s="3" t="s">
        <v>457</v>
      </c>
      <c r="B328" s="10" t="s">
        <v>321</v>
      </c>
      <c r="C328" s="5">
        <v>8099389567</v>
      </c>
      <c r="D328" s="5">
        <v>723237867</v>
      </c>
      <c r="E328" s="6" t="s">
        <v>187</v>
      </c>
      <c r="F328" s="10" t="s">
        <v>61</v>
      </c>
      <c r="G328" s="10">
        <v>1000000018</v>
      </c>
      <c r="H328" s="10" t="s">
        <v>32</v>
      </c>
      <c r="I328" s="10">
        <f>IF(SalesData[[#This Row],[Status of Call]]="completed",1,0)</f>
        <v>1</v>
      </c>
      <c r="J328" s="10">
        <f>1</f>
        <v>1</v>
      </c>
      <c r="K328" s="10">
        <f>SalesData[[#This Row],[Completed calls]]/SalesData[[#This Row],[Total calls]]</f>
        <v>1</v>
      </c>
      <c r="L328" s="4">
        <f t="shared" si="21"/>
        <v>0</v>
      </c>
      <c r="M328" s="4">
        <f t="shared" si="20"/>
        <v>1</v>
      </c>
      <c r="N328" s="4">
        <f t="shared" si="22"/>
        <v>0</v>
      </c>
      <c r="O328" s="7">
        <v>46236</v>
      </c>
      <c r="P328" s="9">
        <v>46236.547349537039</v>
      </c>
      <c r="Q328" s="9">
        <v>46236.54828703704</v>
      </c>
      <c r="R328" s="10">
        <v>81</v>
      </c>
      <c r="S328" s="4">
        <f t="shared" si="23"/>
        <v>0</v>
      </c>
      <c r="T328" s="10">
        <v>1.2</v>
      </c>
      <c r="U328" s="10" t="s">
        <v>26</v>
      </c>
      <c r="V328" s="10" t="s">
        <v>26</v>
      </c>
      <c r="W328" s="6"/>
    </row>
    <row r="329" spans="1:23" x14ac:dyDescent="0.3">
      <c r="A329" s="3" t="s">
        <v>458</v>
      </c>
      <c r="B329" s="10" t="s">
        <v>321</v>
      </c>
      <c r="C329" s="5">
        <v>8099389567</v>
      </c>
      <c r="D329" s="5">
        <v>598464256</v>
      </c>
      <c r="E329" s="6" t="s">
        <v>63</v>
      </c>
      <c r="F329" s="10" t="s">
        <v>71</v>
      </c>
      <c r="G329" s="10">
        <v>1000000022</v>
      </c>
      <c r="H329" s="10" t="s">
        <v>322</v>
      </c>
      <c r="I329" s="10">
        <f>IF(SalesData[[#This Row],[Status of Call]]="completed",1,0)</f>
        <v>0</v>
      </c>
      <c r="J329" s="10">
        <f>1</f>
        <v>1</v>
      </c>
      <c r="K329" s="10">
        <f>SalesData[[#This Row],[Completed calls]]/SalesData[[#This Row],[Total calls]]</f>
        <v>0</v>
      </c>
      <c r="L329" s="4">
        <f t="shared" si="21"/>
        <v>0</v>
      </c>
      <c r="M329" s="4">
        <f t="shared" si="20"/>
        <v>1</v>
      </c>
      <c r="N329" s="4">
        <f t="shared" si="22"/>
        <v>0</v>
      </c>
      <c r="O329" s="7">
        <v>46236</v>
      </c>
      <c r="P329" s="9">
        <v>46236.568877314814</v>
      </c>
      <c r="Q329" s="9">
        <v>46236.569444444445</v>
      </c>
      <c r="R329" s="10">
        <v>49</v>
      </c>
      <c r="S329" s="4">
        <f t="shared" si="23"/>
        <v>1</v>
      </c>
      <c r="T329" s="10">
        <v>0.4</v>
      </c>
      <c r="U329" s="10" t="s">
        <v>26</v>
      </c>
      <c r="V329" s="10" t="s">
        <v>26</v>
      </c>
      <c r="W329" s="6"/>
    </row>
    <row r="330" spans="1:23" x14ac:dyDescent="0.3">
      <c r="A330" s="3" t="s">
        <v>459</v>
      </c>
      <c r="B330" s="10" t="s">
        <v>321</v>
      </c>
      <c r="C330" s="5">
        <v>8099389567</v>
      </c>
      <c r="D330" s="5">
        <v>57242537</v>
      </c>
      <c r="E330" s="6" t="s">
        <v>66</v>
      </c>
      <c r="F330" s="10" t="s">
        <v>61</v>
      </c>
      <c r="G330" s="10">
        <v>1000000018</v>
      </c>
      <c r="H330" s="10" t="s">
        <v>32</v>
      </c>
      <c r="I330" s="10">
        <f>IF(SalesData[[#This Row],[Status of Call]]="completed",1,0)</f>
        <v>1</v>
      </c>
      <c r="J330" s="10">
        <f>1</f>
        <v>1</v>
      </c>
      <c r="K330" s="10">
        <f>SalesData[[#This Row],[Completed calls]]/SalesData[[#This Row],[Total calls]]</f>
        <v>1</v>
      </c>
      <c r="L330" s="4">
        <f t="shared" si="21"/>
        <v>0</v>
      </c>
      <c r="M330" s="4">
        <f t="shared" si="20"/>
        <v>1</v>
      </c>
      <c r="N330" s="4">
        <f t="shared" si="22"/>
        <v>0</v>
      </c>
      <c r="O330" s="7">
        <v>46236</v>
      </c>
      <c r="P330" s="9">
        <v>46236.578506944446</v>
      </c>
      <c r="Q330" s="9">
        <v>46236.579189814816</v>
      </c>
      <c r="R330" s="10">
        <v>63</v>
      </c>
      <c r="S330" s="4">
        <f t="shared" si="23"/>
        <v>0</v>
      </c>
      <c r="T330" s="10">
        <v>0.8</v>
      </c>
      <c r="U330" s="10" t="s">
        <v>26</v>
      </c>
      <c r="V330" s="10" t="s">
        <v>26</v>
      </c>
      <c r="W330" s="6"/>
    </row>
    <row r="331" spans="1:23" x14ac:dyDescent="0.3">
      <c r="A331" s="3" t="s">
        <v>460</v>
      </c>
      <c r="B331" s="10" t="s">
        <v>321</v>
      </c>
      <c r="C331" s="5">
        <v>8099389567</v>
      </c>
      <c r="D331" s="5">
        <v>752693752</v>
      </c>
      <c r="E331" s="6" t="s">
        <v>137</v>
      </c>
      <c r="F331" s="10" t="s">
        <v>44</v>
      </c>
      <c r="G331" s="10">
        <v>1000000010</v>
      </c>
      <c r="H331" s="10" t="s">
        <v>32</v>
      </c>
      <c r="I331" s="10">
        <f>IF(SalesData[[#This Row],[Status of Call]]="completed",1,0)</f>
        <v>1</v>
      </c>
      <c r="J331" s="10">
        <f>1</f>
        <v>1</v>
      </c>
      <c r="K331" s="10">
        <f>SalesData[[#This Row],[Completed calls]]/SalesData[[#This Row],[Total calls]]</f>
        <v>1</v>
      </c>
      <c r="L331" s="4">
        <f t="shared" si="21"/>
        <v>0</v>
      </c>
      <c r="M331" s="4">
        <f t="shared" si="20"/>
        <v>1</v>
      </c>
      <c r="N331" s="4">
        <f t="shared" si="22"/>
        <v>0</v>
      </c>
      <c r="O331" s="7">
        <v>46236</v>
      </c>
      <c r="P331" s="9">
        <v>46236.589687500003</v>
      </c>
      <c r="Q331" s="9">
        <v>46236.590173611112</v>
      </c>
      <c r="R331" s="10">
        <v>43</v>
      </c>
      <c r="S331" s="4">
        <f t="shared" si="23"/>
        <v>0</v>
      </c>
      <c r="T331" s="10">
        <v>0.8</v>
      </c>
      <c r="U331" s="10" t="s">
        <v>26</v>
      </c>
      <c r="V331" s="10" t="s">
        <v>26</v>
      </c>
      <c r="W331" s="6"/>
    </row>
    <row r="332" spans="1:23" x14ac:dyDescent="0.3">
      <c r="A332" s="3" t="s">
        <v>461</v>
      </c>
      <c r="B332" s="10" t="s">
        <v>321</v>
      </c>
      <c r="C332" s="5">
        <v>8099389567</v>
      </c>
      <c r="D332" s="5">
        <v>17875864</v>
      </c>
      <c r="E332" s="6" t="s">
        <v>34</v>
      </c>
      <c r="F332" s="10" t="s">
        <v>71</v>
      </c>
      <c r="G332" s="10">
        <v>1000000022</v>
      </c>
      <c r="H332" s="10" t="s">
        <v>32</v>
      </c>
      <c r="I332" s="10">
        <f>IF(SalesData[[#This Row],[Status of Call]]="completed",1,0)</f>
        <v>1</v>
      </c>
      <c r="J332" s="10">
        <f>1</f>
        <v>1</v>
      </c>
      <c r="K332" s="10">
        <f>SalesData[[#This Row],[Completed calls]]/SalesData[[#This Row],[Total calls]]</f>
        <v>1</v>
      </c>
      <c r="L332" s="4">
        <f t="shared" si="21"/>
        <v>0</v>
      </c>
      <c r="M332" s="4">
        <f t="shared" si="20"/>
        <v>1</v>
      </c>
      <c r="N332" s="4">
        <f t="shared" si="22"/>
        <v>0</v>
      </c>
      <c r="O332" s="7">
        <v>46236</v>
      </c>
      <c r="P332" s="9">
        <v>46236.600069444445</v>
      </c>
      <c r="Q332" s="9">
        <v>46236.600925925923</v>
      </c>
      <c r="R332" s="10">
        <v>72</v>
      </c>
      <c r="S332" s="4">
        <f t="shared" si="23"/>
        <v>0</v>
      </c>
      <c r="T332" s="10">
        <v>1.2</v>
      </c>
      <c r="U332" s="10" t="s">
        <v>26</v>
      </c>
      <c r="V332" s="10" t="s">
        <v>26</v>
      </c>
      <c r="W332" s="6"/>
    </row>
    <row r="333" spans="1:23" x14ac:dyDescent="0.3">
      <c r="A333" s="3" t="s">
        <v>462</v>
      </c>
      <c r="B333" s="10" t="s">
        <v>321</v>
      </c>
      <c r="C333" s="5">
        <v>8099389567</v>
      </c>
      <c r="D333" s="5">
        <v>652600098</v>
      </c>
      <c r="E333" s="6" t="s">
        <v>28</v>
      </c>
      <c r="F333" s="10" t="s">
        <v>41</v>
      </c>
      <c r="G333" s="10">
        <v>1000000006</v>
      </c>
      <c r="H333" s="10" t="s">
        <v>32</v>
      </c>
      <c r="I333" s="10">
        <f>IF(SalesData[[#This Row],[Status of Call]]="completed",1,0)</f>
        <v>1</v>
      </c>
      <c r="J333" s="10">
        <f>1</f>
        <v>1</v>
      </c>
      <c r="K333" s="10">
        <f>SalesData[[#This Row],[Completed calls]]/SalesData[[#This Row],[Total calls]]</f>
        <v>1</v>
      </c>
      <c r="L333" s="4">
        <f t="shared" si="21"/>
        <v>0</v>
      </c>
      <c r="M333" s="4">
        <f t="shared" si="20"/>
        <v>1</v>
      </c>
      <c r="N333" s="4">
        <f t="shared" si="22"/>
        <v>0</v>
      </c>
      <c r="O333" s="7">
        <v>46236</v>
      </c>
      <c r="P333" s="9">
        <v>46236.615740740737</v>
      </c>
      <c r="Q333" s="9">
        <v>46236.615925925929</v>
      </c>
      <c r="R333" s="10">
        <v>17</v>
      </c>
      <c r="S333" s="4">
        <f t="shared" si="23"/>
        <v>0</v>
      </c>
      <c r="T333" s="10">
        <v>1.1499999999999999</v>
      </c>
      <c r="U333" s="10" t="s">
        <v>26</v>
      </c>
      <c r="V333" s="10" t="s">
        <v>206</v>
      </c>
      <c r="W333" s="6"/>
    </row>
    <row r="334" spans="1:23" x14ac:dyDescent="0.3">
      <c r="A334" s="3" t="s">
        <v>463</v>
      </c>
      <c r="B334" s="10" t="s">
        <v>321</v>
      </c>
      <c r="C334" s="5">
        <v>8099389567</v>
      </c>
      <c r="D334" s="5">
        <v>690792891</v>
      </c>
      <c r="E334" s="6" t="s">
        <v>86</v>
      </c>
      <c r="F334" s="10" t="s">
        <v>68</v>
      </c>
      <c r="G334" s="10">
        <v>1000000007</v>
      </c>
      <c r="H334" s="10" t="s">
        <v>32</v>
      </c>
      <c r="I334" s="10">
        <f>IF(SalesData[[#This Row],[Status of Call]]="completed",1,0)</f>
        <v>1</v>
      </c>
      <c r="J334" s="10">
        <f>1</f>
        <v>1</v>
      </c>
      <c r="K334" s="10">
        <f>SalesData[[#This Row],[Completed calls]]/SalesData[[#This Row],[Total calls]]</f>
        <v>1</v>
      </c>
      <c r="L334" s="4">
        <f t="shared" si="21"/>
        <v>0</v>
      </c>
      <c r="M334" s="4">
        <f t="shared" si="20"/>
        <v>1</v>
      </c>
      <c r="N334" s="4">
        <f t="shared" si="22"/>
        <v>0</v>
      </c>
      <c r="O334" s="7">
        <v>46236</v>
      </c>
      <c r="P334" s="9">
        <v>46236.617002314815</v>
      </c>
      <c r="Q334" s="9">
        <v>46236.618136574078</v>
      </c>
      <c r="R334" s="10">
        <v>99</v>
      </c>
      <c r="S334" s="4">
        <f t="shared" si="23"/>
        <v>0</v>
      </c>
      <c r="T334" s="10">
        <v>1.6</v>
      </c>
      <c r="U334" s="10" t="s">
        <v>26</v>
      </c>
      <c r="V334" s="10" t="s">
        <v>26</v>
      </c>
      <c r="W334" s="6"/>
    </row>
    <row r="335" spans="1:23" x14ac:dyDescent="0.3">
      <c r="A335" s="3" t="s">
        <v>464</v>
      </c>
      <c r="B335" s="10" t="s">
        <v>321</v>
      </c>
      <c r="C335" s="5">
        <v>8099389567</v>
      </c>
      <c r="D335" s="5">
        <v>124205410</v>
      </c>
      <c r="E335" s="6" t="s">
        <v>30</v>
      </c>
      <c r="F335" s="10" t="s">
        <v>305</v>
      </c>
      <c r="G335" s="10">
        <v>1000000023</v>
      </c>
      <c r="H335" s="10" t="s">
        <v>332</v>
      </c>
      <c r="I335" s="10">
        <f>IF(SalesData[[#This Row],[Status of Call]]="completed",1,0)</f>
        <v>0</v>
      </c>
      <c r="J335" s="10">
        <f>1</f>
        <v>1</v>
      </c>
      <c r="K335" s="10">
        <f>SalesData[[#This Row],[Completed calls]]/SalesData[[#This Row],[Total calls]]</f>
        <v>0</v>
      </c>
      <c r="L335" s="4">
        <f t="shared" si="21"/>
        <v>0</v>
      </c>
      <c r="M335" s="4">
        <f t="shared" si="20"/>
        <v>1</v>
      </c>
      <c r="N335" s="4">
        <f t="shared" si="22"/>
        <v>0</v>
      </c>
      <c r="O335" s="7">
        <v>46236</v>
      </c>
      <c r="P335" s="9">
        <v>46236.646944444445</v>
      </c>
      <c r="Q335" s="9">
        <v>46236.647476851853</v>
      </c>
      <c r="R335" s="10">
        <v>46</v>
      </c>
      <c r="S335" s="4">
        <f t="shared" si="23"/>
        <v>1</v>
      </c>
      <c r="T335" s="10">
        <v>0.4</v>
      </c>
      <c r="U335" s="10" t="s">
        <v>26</v>
      </c>
      <c r="V335" s="10" t="s">
        <v>142</v>
      </c>
      <c r="W335" s="6"/>
    </row>
    <row r="336" spans="1:23" x14ac:dyDescent="0.3">
      <c r="A336" s="3" t="s">
        <v>465</v>
      </c>
      <c r="B336" s="10" t="s">
        <v>321</v>
      </c>
      <c r="C336" s="5">
        <v>8099389567</v>
      </c>
      <c r="D336" s="5">
        <v>121627891</v>
      </c>
      <c r="E336" s="6" t="s">
        <v>89</v>
      </c>
      <c r="F336" s="10" t="s">
        <v>93</v>
      </c>
      <c r="G336" s="10">
        <v>1000000039</v>
      </c>
      <c r="H336" s="10" t="s">
        <v>32</v>
      </c>
      <c r="I336" s="10">
        <f>IF(SalesData[[#This Row],[Status of Call]]="completed",1,0)</f>
        <v>1</v>
      </c>
      <c r="J336" s="10">
        <f>1</f>
        <v>1</v>
      </c>
      <c r="K336" s="10">
        <f>SalesData[[#This Row],[Completed calls]]/SalesData[[#This Row],[Total calls]]</f>
        <v>1</v>
      </c>
      <c r="L336" s="4">
        <f t="shared" si="21"/>
        <v>0</v>
      </c>
      <c r="M336" s="4">
        <f t="shared" si="20"/>
        <v>1</v>
      </c>
      <c r="N336" s="4">
        <f t="shared" si="22"/>
        <v>0</v>
      </c>
      <c r="O336" s="7">
        <v>46236</v>
      </c>
      <c r="P336" s="9">
        <v>46236.655081018522</v>
      </c>
      <c r="Q336" s="9">
        <v>46236.656851851854</v>
      </c>
      <c r="R336" s="10">
        <v>153</v>
      </c>
      <c r="S336" s="4">
        <f t="shared" si="23"/>
        <v>0</v>
      </c>
      <c r="T336" s="10">
        <v>2.4</v>
      </c>
      <c r="U336" s="10" t="s">
        <v>26</v>
      </c>
      <c r="V336" s="10" t="s">
        <v>26</v>
      </c>
      <c r="W336" s="6"/>
    </row>
    <row r="337" spans="1:23" x14ac:dyDescent="0.3">
      <c r="A337" s="3" t="s">
        <v>466</v>
      </c>
      <c r="B337" s="6" t="s">
        <v>321</v>
      </c>
      <c r="C337" s="5">
        <v>8099389567</v>
      </c>
      <c r="D337" s="5">
        <v>125792673</v>
      </c>
      <c r="E337" s="6" t="s">
        <v>47</v>
      </c>
      <c r="F337" s="6" t="s">
        <v>152</v>
      </c>
      <c r="G337" s="6">
        <v>1000000036</v>
      </c>
      <c r="H337" s="6" t="s">
        <v>322</v>
      </c>
      <c r="I337" s="6">
        <f>IF(SalesData[[#This Row],[Status of Call]]="completed",1,0)</f>
        <v>0</v>
      </c>
      <c r="J337" s="6">
        <f>1</f>
        <v>1</v>
      </c>
      <c r="K337" s="6">
        <f>SalesData[[#This Row],[Completed calls]]/SalesData[[#This Row],[Total calls]]</f>
        <v>0</v>
      </c>
      <c r="L337" s="4">
        <f t="shared" si="21"/>
        <v>0</v>
      </c>
      <c r="M337" s="4">
        <f t="shared" si="20"/>
        <v>1</v>
      </c>
      <c r="N337" s="4">
        <f t="shared" si="22"/>
        <v>0</v>
      </c>
      <c r="O337" s="7">
        <v>46237</v>
      </c>
      <c r="P337" s="9">
        <v>46237.390717592592</v>
      </c>
      <c r="Q337" s="9">
        <v>46237.390949074077</v>
      </c>
      <c r="R337" s="6">
        <v>20</v>
      </c>
      <c r="S337" s="4">
        <f t="shared" si="23"/>
        <v>1</v>
      </c>
      <c r="T337" s="6">
        <v>0.4</v>
      </c>
      <c r="U337" s="6" t="s">
        <v>26</v>
      </c>
      <c r="V337" s="6" t="s">
        <v>255</v>
      </c>
      <c r="W337" s="6"/>
    </row>
    <row r="338" spans="1:23" x14ac:dyDescent="0.3">
      <c r="A338" s="3" t="s">
        <v>467</v>
      </c>
      <c r="B338" s="6" t="s">
        <v>321</v>
      </c>
      <c r="C338" s="5">
        <v>8099389567</v>
      </c>
      <c r="D338" s="5">
        <v>368375104</v>
      </c>
      <c r="E338" s="6" t="s">
        <v>34</v>
      </c>
      <c r="F338" s="6" t="s">
        <v>102</v>
      </c>
      <c r="G338" s="6">
        <v>1000000024</v>
      </c>
      <c r="H338" s="6" t="s">
        <v>322</v>
      </c>
      <c r="I338" s="6">
        <f>IF(SalesData[[#This Row],[Status of Call]]="completed",1,0)</f>
        <v>0</v>
      </c>
      <c r="J338" s="6">
        <f>1</f>
        <v>1</v>
      </c>
      <c r="K338" s="6">
        <f>SalesData[[#This Row],[Completed calls]]/SalesData[[#This Row],[Total calls]]</f>
        <v>0</v>
      </c>
      <c r="L338" s="4">
        <f t="shared" si="21"/>
        <v>0</v>
      </c>
      <c r="M338" s="4">
        <f t="shared" si="20"/>
        <v>1</v>
      </c>
      <c r="N338" s="4">
        <f t="shared" si="22"/>
        <v>0</v>
      </c>
      <c r="O338" s="7">
        <v>46237</v>
      </c>
      <c r="P338" s="9">
        <v>46237.467743055553</v>
      </c>
      <c r="Q338" s="9">
        <v>46237.467974537038</v>
      </c>
      <c r="R338" s="6">
        <v>20</v>
      </c>
      <c r="S338" s="4">
        <f t="shared" si="23"/>
        <v>1</v>
      </c>
      <c r="T338" s="6">
        <v>0.4</v>
      </c>
      <c r="U338" s="6" t="s">
        <v>26</v>
      </c>
      <c r="V338" s="6" t="s">
        <v>142</v>
      </c>
      <c r="W338" s="6"/>
    </row>
    <row r="339" spans="1:23" x14ac:dyDescent="0.3">
      <c r="A339" s="3" t="s">
        <v>468</v>
      </c>
      <c r="B339" s="6" t="s">
        <v>321</v>
      </c>
      <c r="C339" s="5">
        <v>8099389567</v>
      </c>
      <c r="D339" s="5">
        <v>276849547</v>
      </c>
      <c r="E339" s="6" t="s">
        <v>58</v>
      </c>
      <c r="F339" s="6" t="s">
        <v>114</v>
      </c>
      <c r="G339" s="6">
        <v>1000000037</v>
      </c>
      <c r="H339" s="6" t="s">
        <v>322</v>
      </c>
      <c r="I339" s="6">
        <f>IF(SalesData[[#This Row],[Status of Call]]="completed",1,0)</f>
        <v>0</v>
      </c>
      <c r="J339" s="6">
        <f>1</f>
        <v>1</v>
      </c>
      <c r="K339" s="6">
        <f>SalesData[[#This Row],[Completed calls]]/SalesData[[#This Row],[Total calls]]</f>
        <v>0</v>
      </c>
      <c r="L339" s="4">
        <f t="shared" si="21"/>
        <v>0</v>
      </c>
      <c r="M339" s="4">
        <f t="shared" si="20"/>
        <v>1</v>
      </c>
      <c r="N339" s="4">
        <f t="shared" si="22"/>
        <v>0</v>
      </c>
      <c r="O339" s="7">
        <v>46237</v>
      </c>
      <c r="P339" s="9">
        <v>46237.468078703707</v>
      </c>
      <c r="Q339" s="9">
        <v>46237.468275462961</v>
      </c>
      <c r="R339" s="6">
        <v>17</v>
      </c>
      <c r="S339" s="4">
        <f t="shared" si="23"/>
        <v>1</v>
      </c>
      <c r="T339" s="6">
        <v>0.4</v>
      </c>
      <c r="U339" s="6" t="s">
        <v>26</v>
      </c>
      <c r="V339" s="6" t="s">
        <v>109</v>
      </c>
      <c r="W339" s="6"/>
    </row>
    <row r="340" spans="1:23" x14ac:dyDescent="0.3">
      <c r="A340" s="3" t="s">
        <v>469</v>
      </c>
      <c r="B340" s="6" t="s">
        <v>321</v>
      </c>
      <c r="C340" s="5">
        <v>8099389567</v>
      </c>
      <c r="D340" s="5">
        <v>722204661</v>
      </c>
      <c r="E340" s="6" t="s">
        <v>22</v>
      </c>
      <c r="F340" s="6" t="s">
        <v>95</v>
      </c>
      <c r="G340" s="6">
        <v>1000000013</v>
      </c>
      <c r="H340" s="6" t="s">
        <v>322</v>
      </c>
      <c r="I340" s="6">
        <f>IF(SalesData[[#This Row],[Status of Call]]="completed",1,0)</f>
        <v>0</v>
      </c>
      <c r="J340" s="6">
        <f>1</f>
        <v>1</v>
      </c>
      <c r="K340" s="6">
        <f>SalesData[[#This Row],[Completed calls]]/SalesData[[#This Row],[Total calls]]</f>
        <v>0</v>
      </c>
      <c r="L340" s="4">
        <f t="shared" si="21"/>
        <v>0</v>
      </c>
      <c r="M340" s="4">
        <f t="shared" si="20"/>
        <v>1</v>
      </c>
      <c r="N340" s="4">
        <f t="shared" si="22"/>
        <v>0</v>
      </c>
      <c r="O340" s="7">
        <v>46237</v>
      </c>
      <c r="P340" s="9">
        <v>46237.468356481484</v>
      </c>
      <c r="Q340" s="9">
        <v>46237.468784722223</v>
      </c>
      <c r="R340" s="6">
        <v>37</v>
      </c>
      <c r="S340" s="4">
        <f t="shared" si="23"/>
        <v>1</v>
      </c>
      <c r="T340" s="6">
        <v>0.4</v>
      </c>
      <c r="U340" s="6" t="s">
        <v>26</v>
      </c>
      <c r="V340" s="6" t="s">
        <v>206</v>
      </c>
      <c r="W340" s="6"/>
    </row>
    <row r="341" spans="1:23" x14ac:dyDescent="0.3">
      <c r="A341" s="3" t="s">
        <v>470</v>
      </c>
      <c r="B341" s="6" t="s">
        <v>321</v>
      </c>
      <c r="C341" s="5">
        <v>8099389567</v>
      </c>
      <c r="D341" s="5">
        <v>237922193</v>
      </c>
      <c r="E341" s="6" t="s">
        <v>48</v>
      </c>
      <c r="F341" s="6" t="s">
        <v>47</v>
      </c>
      <c r="G341" s="6">
        <v>1000000005</v>
      </c>
      <c r="H341" s="6" t="s">
        <v>332</v>
      </c>
      <c r="I341" s="6">
        <f>IF(SalesData[[#This Row],[Status of Call]]="completed",1,0)</f>
        <v>0</v>
      </c>
      <c r="J341" s="6">
        <f>1</f>
        <v>1</v>
      </c>
      <c r="K341" s="6">
        <f>SalesData[[#This Row],[Completed calls]]/SalesData[[#This Row],[Total calls]]</f>
        <v>0</v>
      </c>
      <c r="L341" s="4">
        <f t="shared" si="21"/>
        <v>0</v>
      </c>
      <c r="M341" s="4">
        <f t="shared" si="20"/>
        <v>1</v>
      </c>
      <c r="N341" s="4">
        <f t="shared" si="22"/>
        <v>0</v>
      </c>
      <c r="O341" s="7">
        <v>46237</v>
      </c>
      <c r="P341" s="9">
        <v>46237.468900462962</v>
      </c>
      <c r="Q341" s="9">
        <v>46237.469351851854</v>
      </c>
      <c r="R341" s="6">
        <v>39</v>
      </c>
      <c r="S341" s="4">
        <f t="shared" si="23"/>
        <v>1</v>
      </c>
      <c r="T341" s="6">
        <v>0.4</v>
      </c>
      <c r="U341" s="6" t="s">
        <v>26</v>
      </c>
      <c r="V341" s="6" t="s">
        <v>142</v>
      </c>
      <c r="W341" s="6"/>
    </row>
    <row r="342" spans="1:23" x14ac:dyDescent="0.3">
      <c r="A342" s="3" t="s">
        <v>471</v>
      </c>
      <c r="B342" s="6" t="s">
        <v>321</v>
      </c>
      <c r="C342" s="5">
        <v>8099389567</v>
      </c>
      <c r="D342" s="5">
        <v>238061954</v>
      </c>
      <c r="E342" s="6" t="s">
        <v>195</v>
      </c>
      <c r="F342" s="6" t="s">
        <v>74</v>
      </c>
      <c r="G342" s="6">
        <v>1000000003</v>
      </c>
      <c r="H342" s="6" t="s">
        <v>322</v>
      </c>
      <c r="I342" s="6">
        <f>IF(SalesData[[#This Row],[Status of Call]]="completed",1,0)</f>
        <v>0</v>
      </c>
      <c r="J342" s="6">
        <f>1</f>
        <v>1</v>
      </c>
      <c r="K342" s="6">
        <f>SalesData[[#This Row],[Completed calls]]/SalesData[[#This Row],[Total calls]]</f>
        <v>0</v>
      </c>
      <c r="L342" s="4">
        <f t="shared" si="21"/>
        <v>0</v>
      </c>
      <c r="M342" s="4">
        <f t="shared" si="20"/>
        <v>1</v>
      </c>
      <c r="N342" s="4">
        <f t="shared" si="22"/>
        <v>0</v>
      </c>
      <c r="O342" s="7">
        <v>46237</v>
      </c>
      <c r="P342" s="9">
        <v>46237.469571759262</v>
      </c>
      <c r="Q342" s="9">
        <v>46237.470046296294</v>
      </c>
      <c r="R342" s="6">
        <v>40</v>
      </c>
      <c r="S342" s="4">
        <f t="shared" si="23"/>
        <v>1</v>
      </c>
      <c r="T342" s="6">
        <v>0.4</v>
      </c>
      <c r="U342" s="6" t="s">
        <v>26</v>
      </c>
      <c r="V342" s="6" t="s">
        <v>26</v>
      </c>
      <c r="W342" s="6"/>
    </row>
    <row r="343" spans="1:23" x14ac:dyDescent="0.3">
      <c r="A343" s="3" t="s">
        <v>472</v>
      </c>
      <c r="B343" s="6" t="s">
        <v>321</v>
      </c>
      <c r="C343" s="5">
        <v>8099389567</v>
      </c>
      <c r="D343" s="5">
        <v>404385968</v>
      </c>
      <c r="E343" s="6" t="s">
        <v>137</v>
      </c>
      <c r="F343" s="6" t="s">
        <v>98</v>
      </c>
      <c r="G343" s="6">
        <v>1000000015</v>
      </c>
      <c r="H343" s="6" t="s">
        <v>32</v>
      </c>
      <c r="I343" s="6">
        <f>IF(SalesData[[#This Row],[Status of Call]]="completed",1,0)</f>
        <v>1</v>
      </c>
      <c r="J343" s="6">
        <f>1</f>
        <v>1</v>
      </c>
      <c r="K343" s="6">
        <f>SalesData[[#This Row],[Completed calls]]/SalesData[[#This Row],[Total calls]]</f>
        <v>1</v>
      </c>
      <c r="L343" s="4">
        <f t="shared" si="21"/>
        <v>0</v>
      </c>
      <c r="M343" s="4">
        <f t="shared" si="20"/>
        <v>1</v>
      </c>
      <c r="N343" s="4">
        <f t="shared" si="22"/>
        <v>0</v>
      </c>
      <c r="O343" s="7">
        <v>46237</v>
      </c>
      <c r="P343" s="9">
        <v>46237.470231481479</v>
      </c>
      <c r="Q343" s="9">
        <v>46237.470937500002</v>
      </c>
      <c r="R343" s="6">
        <v>62</v>
      </c>
      <c r="S343" s="4">
        <f t="shared" si="23"/>
        <v>0</v>
      </c>
      <c r="T343" s="6">
        <v>0.8</v>
      </c>
      <c r="U343" s="6" t="s">
        <v>26</v>
      </c>
      <c r="V343" s="6" t="s">
        <v>26</v>
      </c>
      <c r="W343" s="6"/>
    </row>
    <row r="344" spans="1:23" x14ac:dyDescent="0.3">
      <c r="A344" s="3" t="s">
        <v>473</v>
      </c>
      <c r="B344" s="6" t="s">
        <v>321</v>
      </c>
      <c r="C344" s="5">
        <v>8099389567</v>
      </c>
      <c r="D344" s="5">
        <v>409812161</v>
      </c>
      <c r="E344" s="6" t="s">
        <v>89</v>
      </c>
      <c r="F344" s="6" t="s">
        <v>212</v>
      </c>
      <c r="G344" s="6">
        <v>1000000019</v>
      </c>
      <c r="H344" s="6" t="s">
        <v>332</v>
      </c>
      <c r="I344" s="6">
        <f>IF(SalesData[[#This Row],[Status of Call]]="completed",1,0)</f>
        <v>0</v>
      </c>
      <c r="J344" s="6">
        <f>1</f>
        <v>1</v>
      </c>
      <c r="K344" s="6">
        <f>SalesData[[#This Row],[Completed calls]]/SalesData[[#This Row],[Total calls]]</f>
        <v>0</v>
      </c>
      <c r="L344" s="4">
        <f t="shared" si="21"/>
        <v>0</v>
      </c>
      <c r="M344" s="4">
        <f t="shared" si="20"/>
        <v>1</v>
      </c>
      <c r="N344" s="4">
        <f t="shared" si="22"/>
        <v>0</v>
      </c>
      <c r="O344" s="7">
        <v>46237</v>
      </c>
      <c r="P344" s="9">
        <v>46237.47216435185</v>
      </c>
      <c r="Q344" s="9">
        <v>46237.472650462965</v>
      </c>
      <c r="R344" s="6">
        <v>42</v>
      </c>
      <c r="S344" s="4">
        <f t="shared" si="23"/>
        <v>1</v>
      </c>
      <c r="T344" s="6">
        <v>0.4</v>
      </c>
      <c r="U344" s="6" t="s">
        <v>26</v>
      </c>
      <c r="V344" s="6" t="s">
        <v>109</v>
      </c>
      <c r="W344" s="6"/>
    </row>
    <row r="345" spans="1:23" x14ac:dyDescent="0.3">
      <c r="A345" s="3" t="s">
        <v>474</v>
      </c>
      <c r="B345" s="6" t="s">
        <v>321</v>
      </c>
      <c r="C345" s="5">
        <v>8099389567</v>
      </c>
      <c r="D345" s="5">
        <v>207013193</v>
      </c>
      <c r="E345" s="6" t="s">
        <v>84</v>
      </c>
      <c r="F345" s="6" t="s">
        <v>41</v>
      </c>
      <c r="G345" s="6">
        <v>1000000006</v>
      </c>
      <c r="H345" s="6" t="s">
        <v>32</v>
      </c>
      <c r="I345" s="6">
        <f>IF(SalesData[[#This Row],[Status of Call]]="completed",1,0)</f>
        <v>1</v>
      </c>
      <c r="J345" s="6">
        <f>1</f>
        <v>1</v>
      </c>
      <c r="K345" s="6">
        <f>SalesData[[#This Row],[Completed calls]]/SalesData[[#This Row],[Total calls]]</f>
        <v>1</v>
      </c>
      <c r="L345" s="4">
        <f t="shared" si="21"/>
        <v>0</v>
      </c>
      <c r="M345" s="4">
        <f t="shared" si="20"/>
        <v>1</v>
      </c>
      <c r="N345" s="4">
        <f t="shared" si="22"/>
        <v>0</v>
      </c>
      <c r="O345" s="7">
        <v>46237</v>
      </c>
      <c r="P345" s="9">
        <v>46237.47283564815</v>
      </c>
      <c r="Q345" s="9">
        <v>46237.477731481478</v>
      </c>
      <c r="R345" s="6">
        <v>424</v>
      </c>
      <c r="S345" s="4">
        <f t="shared" si="23"/>
        <v>0</v>
      </c>
      <c r="T345" s="6">
        <v>8.0500000000000007</v>
      </c>
      <c r="U345" s="6" t="s">
        <v>26</v>
      </c>
      <c r="V345" s="6" t="s">
        <v>142</v>
      </c>
      <c r="W345" s="6"/>
    </row>
    <row r="346" spans="1:23" x14ac:dyDescent="0.3">
      <c r="A346" s="3" t="s">
        <v>475</v>
      </c>
      <c r="B346" s="6" t="s">
        <v>321</v>
      </c>
      <c r="C346" s="5">
        <v>8099389567</v>
      </c>
      <c r="D346" s="5">
        <v>192867356</v>
      </c>
      <c r="E346" s="6" t="s">
        <v>123</v>
      </c>
      <c r="F346" s="6" t="s">
        <v>98</v>
      </c>
      <c r="G346" s="6">
        <v>1000000015</v>
      </c>
      <c r="H346" s="6" t="s">
        <v>322</v>
      </c>
      <c r="I346" s="6">
        <f>IF(SalesData[[#This Row],[Status of Call]]="completed",1,0)</f>
        <v>0</v>
      </c>
      <c r="J346" s="6">
        <f>1</f>
        <v>1</v>
      </c>
      <c r="K346" s="6">
        <f>SalesData[[#This Row],[Completed calls]]/SalesData[[#This Row],[Total calls]]</f>
        <v>0</v>
      </c>
      <c r="L346" s="4">
        <f t="shared" si="21"/>
        <v>0</v>
      </c>
      <c r="M346" s="4">
        <f t="shared" si="20"/>
        <v>1</v>
      </c>
      <c r="N346" s="4">
        <f t="shared" si="22"/>
        <v>0</v>
      </c>
      <c r="O346" s="7">
        <v>46237</v>
      </c>
      <c r="P346" s="9">
        <v>46237.483923611115</v>
      </c>
      <c r="Q346" s="9">
        <v>46237.484293981484</v>
      </c>
      <c r="R346" s="6">
        <v>14</v>
      </c>
      <c r="S346" s="4">
        <f t="shared" si="23"/>
        <v>1</v>
      </c>
      <c r="U346" s="6" t="s">
        <v>26</v>
      </c>
      <c r="V346" s="6" t="s">
        <v>206</v>
      </c>
      <c r="W346" s="6"/>
    </row>
    <row r="347" spans="1:23" x14ac:dyDescent="0.3">
      <c r="A347" s="3" t="s">
        <v>476</v>
      </c>
      <c r="B347" s="6" t="s">
        <v>321</v>
      </c>
      <c r="C347" s="5">
        <v>8099389567</v>
      </c>
      <c r="D347" s="5">
        <v>690091299</v>
      </c>
      <c r="E347" s="6" t="s">
        <v>51</v>
      </c>
      <c r="F347" s="6" t="s">
        <v>68</v>
      </c>
      <c r="G347" s="6">
        <v>1000000007</v>
      </c>
      <c r="H347" s="6" t="s">
        <v>32</v>
      </c>
      <c r="I347" s="6">
        <f>IF(SalesData[[#This Row],[Status of Call]]="completed",1,0)</f>
        <v>1</v>
      </c>
      <c r="J347" s="6">
        <f>1</f>
        <v>1</v>
      </c>
      <c r="K347" s="6">
        <f>SalesData[[#This Row],[Completed calls]]/SalesData[[#This Row],[Total calls]]</f>
        <v>1</v>
      </c>
      <c r="L347" s="4">
        <f t="shared" si="21"/>
        <v>0</v>
      </c>
      <c r="M347" s="4">
        <f t="shared" si="20"/>
        <v>1</v>
      </c>
      <c r="N347" s="4">
        <f t="shared" si="22"/>
        <v>0</v>
      </c>
      <c r="O347" s="7">
        <v>46237</v>
      </c>
      <c r="P347" s="9">
        <v>46237.484513888892</v>
      </c>
      <c r="Q347" s="9">
        <v>46237.485439814816</v>
      </c>
      <c r="R347" s="6">
        <v>76</v>
      </c>
      <c r="S347" s="4">
        <f t="shared" si="23"/>
        <v>0</v>
      </c>
      <c r="T347" s="6">
        <v>1.2</v>
      </c>
      <c r="U347" s="6" t="s">
        <v>26</v>
      </c>
      <c r="V347" s="6" t="s">
        <v>26</v>
      </c>
      <c r="W347" s="6"/>
    </row>
    <row r="348" spans="1:23" x14ac:dyDescent="0.3">
      <c r="A348" s="3" t="s">
        <v>477</v>
      </c>
      <c r="B348" s="6" t="s">
        <v>321</v>
      </c>
      <c r="C348" s="5">
        <v>8099389567</v>
      </c>
      <c r="D348" s="5">
        <v>175701585</v>
      </c>
      <c r="E348" s="6" t="s">
        <v>84</v>
      </c>
      <c r="F348" s="6" t="s">
        <v>203</v>
      </c>
      <c r="G348" s="6">
        <v>1000000025</v>
      </c>
      <c r="H348" s="6" t="s">
        <v>332</v>
      </c>
      <c r="I348" s="6">
        <f>IF(SalesData[[#This Row],[Status of Call]]="completed",1,0)</f>
        <v>0</v>
      </c>
      <c r="J348" s="6">
        <f>1</f>
        <v>1</v>
      </c>
      <c r="K348" s="6">
        <f>SalesData[[#This Row],[Completed calls]]/SalesData[[#This Row],[Total calls]]</f>
        <v>0</v>
      </c>
      <c r="L348" s="4">
        <f t="shared" si="21"/>
        <v>0</v>
      </c>
      <c r="M348" s="4">
        <f t="shared" si="20"/>
        <v>1</v>
      </c>
      <c r="N348" s="4">
        <f t="shared" si="22"/>
        <v>0</v>
      </c>
      <c r="O348" s="7">
        <v>46237</v>
      </c>
      <c r="P348" s="9">
        <v>46237.485277777778</v>
      </c>
      <c r="Q348" s="9">
        <v>46237.48574074074</v>
      </c>
      <c r="R348" s="6">
        <v>40</v>
      </c>
      <c r="S348" s="4">
        <f t="shared" si="23"/>
        <v>1</v>
      </c>
      <c r="T348" s="6">
        <v>0.4</v>
      </c>
      <c r="U348" s="6" t="s">
        <v>26</v>
      </c>
      <c r="V348" s="6" t="s">
        <v>142</v>
      </c>
      <c r="W348" s="6"/>
    </row>
    <row r="349" spans="1:23" x14ac:dyDescent="0.3">
      <c r="A349" s="3" t="s">
        <v>478</v>
      </c>
      <c r="B349" s="6" t="s">
        <v>321</v>
      </c>
      <c r="C349" s="5">
        <v>8099389567</v>
      </c>
      <c r="D349" s="5">
        <v>133051436</v>
      </c>
      <c r="E349" s="6" t="s">
        <v>22</v>
      </c>
      <c r="F349" s="6" t="s">
        <v>61</v>
      </c>
      <c r="G349" s="6">
        <v>1000000018</v>
      </c>
      <c r="H349" s="6" t="s">
        <v>32</v>
      </c>
      <c r="I349" s="6">
        <f>IF(SalesData[[#This Row],[Status of Call]]="completed",1,0)</f>
        <v>1</v>
      </c>
      <c r="J349" s="6">
        <f>1</f>
        <v>1</v>
      </c>
      <c r="K349" s="6">
        <f>SalesData[[#This Row],[Completed calls]]/SalesData[[#This Row],[Total calls]]</f>
        <v>1</v>
      </c>
      <c r="L349" s="4">
        <f t="shared" si="21"/>
        <v>0</v>
      </c>
      <c r="M349" s="4">
        <f t="shared" si="20"/>
        <v>1</v>
      </c>
      <c r="N349" s="4">
        <f t="shared" si="22"/>
        <v>0</v>
      </c>
      <c r="O349" s="7">
        <v>46237</v>
      </c>
      <c r="P349" s="9">
        <v>46237.485844907409</v>
      </c>
      <c r="Q349" s="9">
        <v>46237.486342592594</v>
      </c>
      <c r="R349" s="6">
        <v>35</v>
      </c>
      <c r="S349" s="4">
        <f t="shared" si="23"/>
        <v>0</v>
      </c>
      <c r="U349" s="6" t="s">
        <v>26</v>
      </c>
      <c r="V349" s="6" t="s">
        <v>335</v>
      </c>
      <c r="W349" s="6"/>
    </row>
    <row r="350" spans="1:23" x14ac:dyDescent="0.3">
      <c r="A350" s="3" t="s">
        <v>479</v>
      </c>
      <c r="B350" s="6" t="s">
        <v>321</v>
      </c>
      <c r="C350" s="5">
        <v>8099389567</v>
      </c>
      <c r="D350" s="5">
        <v>374051419</v>
      </c>
      <c r="E350" s="6" t="s">
        <v>170</v>
      </c>
      <c r="F350" s="6" t="s">
        <v>75</v>
      </c>
      <c r="G350" s="6">
        <v>1000000030</v>
      </c>
      <c r="H350" s="6" t="s">
        <v>332</v>
      </c>
      <c r="I350" s="6">
        <f>IF(SalesData[[#This Row],[Status of Call]]="completed",1,0)</f>
        <v>0</v>
      </c>
      <c r="J350" s="6">
        <f>1</f>
        <v>1</v>
      </c>
      <c r="K350" s="6">
        <f>SalesData[[#This Row],[Completed calls]]/SalesData[[#This Row],[Total calls]]</f>
        <v>0</v>
      </c>
      <c r="L350" s="4">
        <f t="shared" si="21"/>
        <v>0</v>
      </c>
      <c r="M350" s="4">
        <f t="shared" si="20"/>
        <v>1</v>
      </c>
      <c r="N350" s="4">
        <f t="shared" si="22"/>
        <v>0</v>
      </c>
      <c r="O350" s="7">
        <v>46237</v>
      </c>
      <c r="P350" s="9">
        <v>46237.486608796295</v>
      </c>
      <c r="Q350" s="9">
        <v>46237.487141203703</v>
      </c>
      <c r="R350" s="6">
        <v>46</v>
      </c>
      <c r="S350" s="4">
        <f t="shared" si="23"/>
        <v>1</v>
      </c>
      <c r="T350" s="6">
        <v>0.4</v>
      </c>
      <c r="U350" s="6" t="s">
        <v>26</v>
      </c>
      <c r="V350" s="6" t="s">
        <v>142</v>
      </c>
      <c r="W350" s="6"/>
    </row>
    <row r="351" spans="1:23" x14ac:dyDescent="0.3">
      <c r="A351" s="3" t="s">
        <v>480</v>
      </c>
      <c r="B351" s="6" t="s">
        <v>321</v>
      </c>
      <c r="C351" s="5">
        <v>8099389567</v>
      </c>
      <c r="D351" s="5">
        <v>90312974</v>
      </c>
      <c r="E351" s="6" t="s">
        <v>106</v>
      </c>
      <c r="F351" s="6" t="s">
        <v>102</v>
      </c>
      <c r="G351" s="6">
        <v>1000000024</v>
      </c>
      <c r="H351" s="6" t="s">
        <v>32</v>
      </c>
      <c r="I351" s="6">
        <f>IF(SalesData[[#This Row],[Status of Call]]="completed",1,0)</f>
        <v>1</v>
      </c>
      <c r="J351" s="6">
        <f>1</f>
        <v>1</v>
      </c>
      <c r="K351" s="6">
        <f>SalesData[[#This Row],[Completed calls]]/SalesData[[#This Row],[Total calls]]</f>
        <v>1</v>
      </c>
      <c r="L351" s="4">
        <f t="shared" si="21"/>
        <v>0</v>
      </c>
      <c r="M351" s="4">
        <f t="shared" si="20"/>
        <v>1</v>
      </c>
      <c r="N351" s="4">
        <f t="shared" si="22"/>
        <v>0</v>
      </c>
      <c r="O351" s="7">
        <v>46237</v>
      </c>
      <c r="P351" s="9">
        <v>46237.487349537034</v>
      </c>
      <c r="Q351" s="9">
        <v>46237.487997685188</v>
      </c>
      <c r="R351" s="6">
        <v>56</v>
      </c>
      <c r="S351" s="4">
        <f t="shared" si="23"/>
        <v>0</v>
      </c>
      <c r="T351" s="6">
        <v>1.1499999999999999</v>
      </c>
      <c r="U351" s="6" t="s">
        <v>26</v>
      </c>
      <c r="V351" s="6" t="s">
        <v>335</v>
      </c>
      <c r="W351" s="6"/>
    </row>
    <row r="352" spans="1:23" x14ac:dyDescent="0.3">
      <c r="A352" s="3" t="s">
        <v>481</v>
      </c>
      <c r="B352" s="6" t="s">
        <v>321</v>
      </c>
      <c r="C352" s="5">
        <v>8099389567</v>
      </c>
      <c r="D352" s="5">
        <v>963910237</v>
      </c>
      <c r="E352" s="6" t="s">
        <v>63</v>
      </c>
      <c r="F352" s="6" t="s">
        <v>54</v>
      </c>
      <c r="G352" s="6">
        <v>1000000011</v>
      </c>
      <c r="H352" s="6" t="s">
        <v>322</v>
      </c>
      <c r="I352" s="6">
        <f>IF(SalesData[[#This Row],[Status of Call]]="completed",1,0)</f>
        <v>0</v>
      </c>
      <c r="J352" s="6">
        <f>1</f>
        <v>1</v>
      </c>
      <c r="K352" s="6">
        <f>SalesData[[#This Row],[Completed calls]]/SalesData[[#This Row],[Total calls]]</f>
        <v>0</v>
      </c>
      <c r="L352" s="4">
        <f t="shared" si="21"/>
        <v>0</v>
      </c>
      <c r="M352" s="4">
        <f t="shared" si="20"/>
        <v>1</v>
      </c>
      <c r="N352" s="4">
        <f t="shared" si="22"/>
        <v>0</v>
      </c>
      <c r="O352" s="7">
        <v>46237</v>
      </c>
      <c r="P352" s="9">
        <v>46237.487453703703</v>
      </c>
      <c r="Q352" s="9">
        <v>46237.487696759257</v>
      </c>
      <c r="R352" s="6">
        <v>21</v>
      </c>
      <c r="S352" s="4">
        <f t="shared" si="23"/>
        <v>1</v>
      </c>
      <c r="T352" s="6">
        <v>0.4</v>
      </c>
      <c r="U352" s="6" t="s">
        <v>26</v>
      </c>
      <c r="V352" s="6" t="s">
        <v>335</v>
      </c>
      <c r="W352" s="6"/>
    </row>
    <row r="353" spans="1:23" x14ac:dyDescent="0.3">
      <c r="A353" s="3" t="s">
        <v>482</v>
      </c>
      <c r="B353" s="6" t="s">
        <v>321</v>
      </c>
      <c r="C353" s="5">
        <v>8099389567</v>
      </c>
      <c r="D353" s="5">
        <v>915448537</v>
      </c>
      <c r="E353" s="6" t="s">
        <v>34</v>
      </c>
      <c r="F353" s="6" t="s">
        <v>102</v>
      </c>
      <c r="G353" s="6">
        <v>1000000024</v>
      </c>
      <c r="H353" s="6" t="s">
        <v>32</v>
      </c>
      <c r="I353" s="6">
        <f>IF(SalesData[[#This Row],[Status of Call]]="completed",1,0)</f>
        <v>1</v>
      </c>
      <c r="J353" s="6">
        <f>1</f>
        <v>1</v>
      </c>
      <c r="K353" s="6">
        <f>SalesData[[#This Row],[Completed calls]]/SalesData[[#This Row],[Total calls]]</f>
        <v>1</v>
      </c>
      <c r="L353" s="4">
        <f t="shared" si="21"/>
        <v>0</v>
      </c>
      <c r="M353" s="4">
        <f t="shared" si="20"/>
        <v>1</v>
      </c>
      <c r="N353" s="4">
        <f t="shared" si="22"/>
        <v>0</v>
      </c>
      <c r="O353" s="7">
        <v>46237</v>
      </c>
      <c r="P353" s="9">
        <v>46237.488310185188</v>
      </c>
      <c r="Q353" s="9">
        <v>46237.488703703704</v>
      </c>
      <c r="R353" s="6">
        <v>35</v>
      </c>
      <c r="S353" s="4">
        <f t="shared" si="23"/>
        <v>0</v>
      </c>
      <c r="T353" s="6">
        <v>0.8</v>
      </c>
      <c r="U353" s="6" t="s">
        <v>26</v>
      </c>
      <c r="V353" s="6" t="s">
        <v>26</v>
      </c>
      <c r="W353" s="6"/>
    </row>
    <row r="354" spans="1:23" x14ac:dyDescent="0.3">
      <c r="A354" s="3" t="s">
        <v>483</v>
      </c>
      <c r="B354" s="6" t="s">
        <v>321</v>
      </c>
      <c r="C354" s="5">
        <v>8099389567</v>
      </c>
      <c r="D354" s="5">
        <v>825078324</v>
      </c>
      <c r="E354" s="6" t="s">
        <v>51</v>
      </c>
      <c r="F354" s="6" t="s">
        <v>305</v>
      </c>
      <c r="G354" s="6">
        <v>1000000023</v>
      </c>
      <c r="H354" s="6" t="s">
        <v>32</v>
      </c>
      <c r="I354" s="6">
        <f>IF(SalesData[[#This Row],[Status of Call]]="completed",1,0)</f>
        <v>1</v>
      </c>
      <c r="J354" s="6">
        <f>1</f>
        <v>1</v>
      </c>
      <c r="K354" s="6">
        <f>SalesData[[#This Row],[Completed calls]]/SalesData[[#This Row],[Total calls]]</f>
        <v>1</v>
      </c>
      <c r="L354" s="4">
        <f t="shared" si="21"/>
        <v>0</v>
      </c>
      <c r="M354" s="4">
        <f t="shared" si="20"/>
        <v>1</v>
      </c>
      <c r="N354" s="4">
        <f t="shared" si="22"/>
        <v>0</v>
      </c>
      <c r="O354" s="7">
        <v>46237</v>
      </c>
      <c r="P354" s="9">
        <v>46237.489189814813</v>
      </c>
      <c r="Q354" s="9">
        <v>46237.49015046296</v>
      </c>
      <c r="R354" s="6">
        <v>83</v>
      </c>
      <c r="S354" s="4">
        <f t="shared" si="23"/>
        <v>0</v>
      </c>
      <c r="T354" s="6">
        <v>1.2</v>
      </c>
      <c r="U354" s="6" t="s">
        <v>26</v>
      </c>
      <c r="V354" s="6" t="s">
        <v>26</v>
      </c>
      <c r="W354" s="6"/>
    </row>
    <row r="355" spans="1:23" x14ac:dyDescent="0.3">
      <c r="A355" s="3" t="s">
        <v>484</v>
      </c>
      <c r="B355" s="6" t="s">
        <v>321</v>
      </c>
      <c r="C355" s="5">
        <v>8099389567</v>
      </c>
      <c r="D355" s="5">
        <v>28076397</v>
      </c>
      <c r="E355" s="6" t="s">
        <v>106</v>
      </c>
      <c r="F355" s="6" t="s">
        <v>61</v>
      </c>
      <c r="G355" s="6">
        <v>1000000018</v>
      </c>
      <c r="H355" s="6" t="s">
        <v>32</v>
      </c>
      <c r="I355" s="6">
        <f>IF(SalesData[[#This Row],[Status of Call]]="completed",1,0)</f>
        <v>1</v>
      </c>
      <c r="J355" s="6">
        <f>1</f>
        <v>1</v>
      </c>
      <c r="K355" s="6">
        <f>SalesData[[#This Row],[Completed calls]]/SalesData[[#This Row],[Total calls]]</f>
        <v>1</v>
      </c>
      <c r="L355" s="4">
        <f t="shared" si="21"/>
        <v>0</v>
      </c>
      <c r="M355" s="4">
        <f t="shared" si="20"/>
        <v>1</v>
      </c>
      <c r="N355" s="4">
        <f t="shared" si="22"/>
        <v>0</v>
      </c>
      <c r="O355" s="7">
        <v>46237</v>
      </c>
      <c r="P355" s="9">
        <v>46237.490532407406</v>
      </c>
      <c r="Q355" s="9">
        <v>46237.490844907406</v>
      </c>
      <c r="R355" s="6">
        <v>27</v>
      </c>
      <c r="S355" s="4">
        <f t="shared" si="23"/>
        <v>0</v>
      </c>
      <c r="T355" s="6">
        <v>1.1499999999999999</v>
      </c>
      <c r="U355" s="6" t="s">
        <v>26</v>
      </c>
      <c r="V355" s="6" t="s">
        <v>142</v>
      </c>
      <c r="W355" s="6"/>
    </row>
    <row r="356" spans="1:23" x14ac:dyDescent="0.3">
      <c r="A356" s="3" t="s">
        <v>485</v>
      </c>
      <c r="B356" s="6" t="s">
        <v>321</v>
      </c>
      <c r="C356" s="5">
        <v>8099389567</v>
      </c>
      <c r="D356" s="5">
        <v>339178217</v>
      </c>
      <c r="E356" s="6" t="s">
        <v>187</v>
      </c>
      <c r="F356" s="6" t="s">
        <v>93</v>
      </c>
      <c r="G356" s="6">
        <v>1000000039</v>
      </c>
      <c r="H356" s="6" t="s">
        <v>32</v>
      </c>
      <c r="I356" s="6">
        <f>IF(SalesData[[#This Row],[Status of Call]]="completed",1,0)</f>
        <v>1</v>
      </c>
      <c r="J356" s="6">
        <f>1</f>
        <v>1</v>
      </c>
      <c r="K356" s="6">
        <f>SalesData[[#This Row],[Completed calls]]/SalesData[[#This Row],[Total calls]]</f>
        <v>1</v>
      </c>
      <c r="L356" s="4">
        <f t="shared" si="21"/>
        <v>0</v>
      </c>
      <c r="M356" s="4">
        <f t="shared" si="20"/>
        <v>1</v>
      </c>
      <c r="N356" s="4">
        <f t="shared" si="22"/>
        <v>0</v>
      </c>
      <c r="O356" s="7">
        <v>46237</v>
      </c>
      <c r="P356" s="9">
        <v>46237.491516203707</v>
      </c>
      <c r="Q356" s="9">
        <v>46237.492256944446</v>
      </c>
      <c r="R356" s="6">
        <v>64</v>
      </c>
      <c r="S356" s="4">
        <f t="shared" si="23"/>
        <v>0</v>
      </c>
      <c r="T356" s="6">
        <v>1.1499999999999999</v>
      </c>
      <c r="U356" s="6" t="s">
        <v>26</v>
      </c>
      <c r="V356" s="6" t="s">
        <v>335</v>
      </c>
      <c r="W356" s="6"/>
    </row>
    <row r="357" spans="1:23" x14ac:dyDescent="0.3">
      <c r="A357" s="3" t="s">
        <v>486</v>
      </c>
      <c r="B357" s="6" t="s">
        <v>321</v>
      </c>
      <c r="C357" s="5">
        <v>8099389567</v>
      </c>
      <c r="D357" s="5">
        <v>216009614</v>
      </c>
      <c r="E357" s="6" t="s">
        <v>64</v>
      </c>
      <c r="F357" s="6" t="s">
        <v>54</v>
      </c>
      <c r="G357" s="6">
        <v>1000000011</v>
      </c>
      <c r="H357" s="6" t="s">
        <v>32</v>
      </c>
      <c r="I357" s="6">
        <f>IF(SalesData[[#This Row],[Status of Call]]="completed",1,0)</f>
        <v>1</v>
      </c>
      <c r="J357" s="6">
        <f>1</f>
        <v>1</v>
      </c>
      <c r="K357" s="6">
        <f>SalesData[[#This Row],[Completed calls]]/SalesData[[#This Row],[Total calls]]</f>
        <v>1</v>
      </c>
      <c r="L357" s="4">
        <f t="shared" si="21"/>
        <v>0</v>
      </c>
      <c r="M357" s="4">
        <f t="shared" si="20"/>
        <v>1</v>
      </c>
      <c r="N357" s="4">
        <f t="shared" si="22"/>
        <v>0</v>
      </c>
      <c r="O357" s="7">
        <v>46237</v>
      </c>
      <c r="P357" s="9">
        <v>46237.492361111108</v>
      </c>
      <c r="Q357" s="9">
        <v>46237.492951388886</v>
      </c>
      <c r="R357" s="6">
        <v>51</v>
      </c>
      <c r="S357" s="4">
        <f t="shared" si="23"/>
        <v>0</v>
      </c>
      <c r="T357" s="6">
        <v>1.1499999999999999</v>
      </c>
      <c r="U357" s="6" t="s">
        <v>26</v>
      </c>
      <c r="V357" s="6" t="s">
        <v>206</v>
      </c>
      <c r="W357" s="6"/>
    </row>
    <row r="358" spans="1:23" x14ac:dyDescent="0.3">
      <c r="A358" s="3" t="s">
        <v>487</v>
      </c>
      <c r="B358" s="6" t="s">
        <v>321</v>
      </c>
      <c r="C358" s="5">
        <v>8099389567</v>
      </c>
      <c r="D358" s="5">
        <v>943055309</v>
      </c>
      <c r="E358" s="6" t="s">
        <v>53</v>
      </c>
      <c r="F358" s="6" t="s">
        <v>107</v>
      </c>
      <c r="G358" s="6">
        <v>1000000035</v>
      </c>
      <c r="H358" s="6" t="s">
        <v>332</v>
      </c>
      <c r="I358" s="6">
        <f>IF(SalesData[[#This Row],[Status of Call]]="completed",1,0)</f>
        <v>0</v>
      </c>
      <c r="J358" s="6">
        <f>1</f>
        <v>1</v>
      </c>
      <c r="K358" s="6">
        <f>SalesData[[#This Row],[Completed calls]]/SalesData[[#This Row],[Total calls]]</f>
        <v>0</v>
      </c>
      <c r="L358" s="4">
        <f t="shared" si="21"/>
        <v>0</v>
      </c>
      <c r="M358" s="4">
        <f t="shared" si="20"/>
        <v>1</v>
      </c>
      <c r="N358" s="4">
        <f t="shared" si="22"/>
        <v>0</v>
      </c>
      <c r="O358" s="7">
        <v>46237</v>
      </c>
      <c r="P358" s="9">
        <v>46237.492627314816</v>
      </c>
      <c r="Q358" s="9">
        <v>46237.493113425924</v>
      </c>
      <c r="R358" s="6">
        <v>43</v>
      </c>
      <c r="S358" s="4">
        <f t="shared" si="23"/>
        <v>1</v>
      </c>
      <c r="T358" s="6">
        <v>0.4</v>
      </c>
      <c r="U358" s="6" t="s">
        <v>26</v>
      </c>
      <c r="V358" s="6" t="s">
        <v>26</v>
      </c>
      <c r="W358" s="6"/>
    </row>
    <row r="359" spans="1:23" x14ac:dyDescent="0.3">
      <c r="A359" s="3" t="s">
        <v>488</v>
      </c>
      <c r="B359" s="6" t="s">
        <v>321</v>
      </c>
      <c r="C359" s="5">
        <v>8099389567</v>
      </c>
      <c r="D359" s="5">
        <v>955524766</v>
      </c>
      <c r="E359" s="6" t="s">
        <v>44</v>
      </c>
      <c r="F359" s="6" t="s">
        <v>31</v>
      </c>
      <c r="G359" s="6">
        <v>1000000016</v>
      </c>
      <c r="H359" s="6" t="s">
        <v>322</v>
      </c>
      <c r="I359" s="6">
        <f>IF(SalesData[[#This Row],[Status of Call]]="completed",1,0)</f>
        <v>0</v>
      </c>
      <c r="J359" s="6">
        <f>1</f>
        <v>1</v>
      </c>
      <c r="K359" s="6">
        <f>SalesData[[#This Row],[Completed calls]]/SalesData[[#This Row],[Total calls]]</f>
        <v>0</v>
      </c>
      <c r="L359" s="4">
        <f t="shared" si="21"/>
        <v>0</v>
      </c>
      <c r="M359" s="4">
        <f t="shared" si="20"/>
        <v>1</v>
      </c>
      <c r="N359" s="4">
        <f t="shared" si="22"/>
        <v>0</v>
      </c>
      <c r="O359" s="7">
        <v>46237</v>
      </c>
      <c r="P359" s="9">
        <v>46237.493194444447</v>
      </c>
      <c r="Q359" s="9">
        <v>46237.493449074071</v>
      </c>
      <c r="R359" s="6">
        <v>21</v>
      </c>
      <c r="S359" s="4">
        <f t="shared" si="23"/>
        <v>1</v>
      </c>
      <c r="T359" s="6">
        <v>0.4</v>
      </c>
      <c r="U359" s="6" t="s">
        <v>26</v>
      </c>
      <c r="V359" s="6" t="s">
        <v>206</v>
      </c>
      <c r="W359" s="6"/>
    </row>
    <row r="360" spans="1:23" x14ac:dyDescent="0.3">
      <c r="A360" s="3" t="s">
        <v>489</v>
      </c>
      <c r="B360" s="6" t="s">
        <v>321</v>
      </c>
      <c r="C360" s="5">
        <v>8099389567</v>
      </c>
      <c r="D360" s="5">
        <v>202587474</v>
      </c>
      <c r="E360" s="6" t="s">
        <v>140</v>
      </c>
      <c r="F360" s="6" t="s">
        <v>54</v>
      </c>
      <c r="G360" s="6">
        <v>1000000011</v>
      </c>
      <c r="H360" s="6" t="s">
        <v>332</v>
      </c>
      <c r="I360" s="6">
        <f>IF(SalesData[[#This Row],[Status of Call]]="completed",1,0)</f>
        <v>0</v>
      </c>
      <c r="J360" s="6">
        <f>1</f>
        <v>1</v>
      </c>
      <c r="K360" s="6">
        <f>SalesData[[#This Row],[Completed calls]]/SalesData[[#This Row],[Total calls]]</f>
        <v>0</v>
      </c>
      <c r="L360" s="4">
        <f t="shared" si="21"/>
        <v>0</v>
      </c>
      <c r="M360" s="4">
        <f t="shared" si="20"/>
        <v>1</v>
      </c>
      <c r="N360" s="4">
        <f t="shared" si="22"/>
        <v>0</v>
      </c>
      <c r="O360" s="7">
        <v>46237</v>
      </c>
      <c r="P360" s="9">
        <v>46237.493298611109</v>
      </c>
      <c r="Q360" s="9">
        <v>46237.493750000001</v>
      </c>
      <c r="R360" s="6">
        <v>40</v>
      </c>
      <c r="S360" s="4">
        <f t="shared" si="23"/>
        <v>1</v>
      </c>
      <c r="T360" s="6">
        <v>0.4</v>
      </c>
      <c r="U360" s="6" t="s">
        <v>26</v>
      </c>
      <c r="V360" s="6" t="s">
        <v>109</v>
      </c>
      <c r="W360" s="6"/>
    </row>
    <row r="361" spans="1:23" x14ac:dyDescent="0.3">
      <c r="A361" s="3" t="s">
        <v>490</v>
      </c>
      <c r="B361" s="6" t="s">
        <v>321</v>
      </c>
      <c r="C361" s="5">
        <v>8099389567</v>
      </c>
      <c r="D361" s="5">
        <v>460001201</v>
      </c>
      <c r="E361" s="6" t="s">
        <v>197</v>
      </c>
      <c r="F361" s="6" t="s">
        <v>75</v>
      </c>
      <c r="G361" s="6">
        <v>1000000030</v>
      </c>
      <c r="H361" s="6" t="s">
        <v>332</v>
      </c>
      <c r="I361" s="6">
        <f>IF(SalesData[[#This Row],[Status of Call]]="completed",1,0)</f>
        <v>0</v>
      </c>
      <c r="J361" s="6">
        <f>1</f>
        <v>1</v>
      </c>
      <c r="K361" s="6">
        <f>SalesData[[#This Row],[Completed calls]]/SalesData[[#This Row],[Total calls]]</f>
        <v>0</v>
      </c>
      <c r="L361" s="4">
        <f t="shared" si="21"/>
        <v>0</v>
      </c>
      <c r="M361" s="4">
        <f t="shared" si="20"/>
        <v>1</v>
      </c>
      <c r="N361" s="4">
        <f t="shared" si="22"/>
        <v>0</v>
      </c>
      <c r="O361" s="7">
        <v>46237</v>
      </c>
      <c r="P361" s="9">
        <v>46237.49386574074</v>
      </c>
      <c r="Q361" s="9">
        <v>46237.494340277779</v>
      </c>
      <c r="R361" s="6">
        <v>30</v>
      </c>
      <c r="S361" s="4">
        <f t="shared" si="23"/>
        <v>1</v>
      </c>
      <c r="U361" s="6" t="s">
        <v>26</v>
      </c>
      <c r="V361" s="6" t="s">
        <v>109</v>
      </c>
      <c r="W361" s="6"/>
    </row>
    <row r="362" spans="1:23" x14ac:dyDescent="0.3">
      <c r="A362" s="3" t="s">
        <v>491</v>
      </c>
      <c r="B362" s="6" t="s">
        <v>321</v>
      </c>
      <c r="C362" s="5">
        <v>8099389567</v>
      </c>
      <c r="D362" s="5">
        <v>531050746</v>
      </c>
      <c r="E362" s="6" t="s">
        <v>40</v>
      </c>
      <c r="F362" s="6" t="s">
        <v>61</v>
      </c>
      <c r="G362" s="6">
        <v>1000000018</v>
      </c>
      <c r="H362" s="6" t="s">
        <v>32</v>
      </c>
      <c r="I362" s="6">
        <f>IF(SalesData[[#This Row],[Status of Call]]="completed",1,0)</f>
        <v>1</v>
      </c>
      <c r="J362" s="6">
        <f>1</f>
        <v>1</v>
      </c>
      <c r="K362" s="6">
        <f>SalesData[[#This Row],[Completed calls]]/SalesData[[#This Row],[Total calls]]</f>
        <v>1</v>
      </c>
      <c r="L362" s="4">
        <f t="shared" si="21"/>
        <v>0</v>
      </c>
      <c r="M362" s="4">
        <f t="shared" si="20"/>
        <v>1</v>
      </c>
      <c r="N362" s="4">
        <f t="shared" si="22"/>
        <v>0</v>
      </c>
      <c r="O362" s="7">
        <v>46237</v>
      </c>
      <c r="P362" s="9">
        <v>46237.494166666664</v>
      </c>
      <c r="Q362" s="9">
        <v>46237.494583333333</v>
      </c>
      <c r="R362" s="6">
        <v>37</v>
      </c>
      <c r="S362" s="4">
        <f t="shared" si="23"/>
        <v>0</v>
      </c>
      <c r="T362" s="6">
        <v>1.1499999999999999</v>
      </c>
      <c r="U362" s="6" t="s">
        <v>26</v>
      </c>
      <c r="V362" s="6" t="s">
        <v>253</v>
      </c>
      <c r="W362" s="6"/>
    </row>
    <row r="363" spans="1:23" x14ac:dyDescent="0.3">
      <c r="A363" s="3" t="s">
        <v>492</v>
      </c>
      <c r="B363" s="6" t="s">
        <v>321</v>
      </c>
      <c r="C363" s="5">
        <v>8099389567</v>
      </c>
      <c r="D363" s="5">
        <v>564329548</v>
      </c>
      <c r="E363" s="6" t="s">
        <v>123</v>
      </c>
      <c r="F363" s="6" t="s">
        <v>152</v>
      </c>
      <c r="G363" s="6">
        <v>1000000036</v>
      </c>
      <c r="H363" s="6" t="s">
        <v>32</v>
      </c>
      <c r="I363" s="6">
        <f>IF(SalesData[[#This Row],[Status of Call]]="completed",1,0)</f>
        <v>1</v>
      </c>
      <c r="J363" s="6">
        <f>1</f>
        <v>1</v>
      </c>
      <c r="K363" s="6">
        <f>SalesData[[#This Row],[Completed calls]]/SalesData[[#This Row],[Total calls]]</f>
        <v>1</v>
      </c>
      <c r="L363" s="4">
        <f t="shared" si="21"/>
        <v>0</v>
      </c>
      <c r="M363" s="4">
        <f t="shared" si="20"/>
        <v>1</v>
      </c>
      <c r="N363" s="4">
        <f t="shared" si="22"/>
        <v>0</v>
      </c>
      <c r="O363" s="7">
        <v>46237</v>
      </c>
      <c r="P363" s="9">
        <v>46237.494710648149</v>
      </c>
      <c r="Q363" s="9">
        <v>46237.495428240742</v>
      </c>
      <c r="R363" s="6">
        <v>62</v>
      </c>
      <c r="S363" s="4">
        <f t="shared" si="23"/>
        <v>0</v>
      </c>
      <c r="T363" s="6">
        <v>1.1499999999999999</v>
      </c>
      <c r="U363" s="6" t="s">
        <v>26</v>
      </c>
      <c r="V363" s="6" t="s">
        <v>255</v>
      </c>
      <c r="W363" s="6"/>
    </row>
    <row r="364" spans="1:23" x14ac:dyDescent="0.3">
      <c r="A364" s="3" t="s">
        <v>493</v>
      </c>
      <c r="B364" s="6" t="s">
        <v>321</v>
      </c>
      <c r="C364" s="5">
        <v>8099389567</v>
      </c>
      <c r="D364" s="5">
        <v>11750308</v>
      </c>
      <c r="E364" s="6" t="s">
        <v>145</v>
      </c>
      <c r="F364" s="6" t="s">
        <v>98</v>
      </c>
      <c r="G364" s="6">
        <v>1000000015</v>
      </c>
      <c r="H364" s="6" t="s">
        <v>32</v>
      </c>
      <c r="I364" s="6">
        <f>IF(SalesData[[#This Row],[Status of Call]]="completed",1,0)</f>
        <v>1</v>
      </c>
      <c r="J364" s="6">
        <f>1</f>
        <v>1</v>
      </c>
      <c r="K364" s="6">
        <f>SalesData[[#This Row],[Completed calls]]/SalesData[[#This Row],[Total calls]]</f>
        <v>1</v>
      </c>
      <c r="L364" s="4">
        <f t="shared" si="21"/>
        <v>0</v>
      </c>
      <c r="M364" s="4">
        <f t="shared" si="20"/>
        <v>1</v>
      </c>
      <c r="N364" s="4">
        <f t="shared" si="22"/>
        <v>0</v>
      </c>
      <c r="O364" s="7">
        <v>46237</v>
      </c>
      <c r="P364" s="9">
        <v>46237.495636574073</v>
      </c>
      <c r="Q364" s="9">
        <v>46237.496932870374</v>
      </c>
      <c r="R364" s="6">
        <v>117</v>
      </c>
      <c r="S364" s="4">
        <f t="shared" si="23"/>
        <v>0</v>
      </c>
      <c r="T364" s="6">
        <v>2.2999999999999998</v>
      </c>
      <c r="U364" s="6" t="s">
        <v>26</v>
      </c>
      <c r="V364" s="6" t="s">
        <v>335</v>
      </c>
      <c r="W364" s="6"/>
    </row>
    <row r="365" spans="1:23" x14ac:dyDescent="0.3">
      <c r="A365" s="3" t="s">
        <v>494</v>
      </c>
      <c r="B365" s="6" t="s">
        <v>321</v>
      </c>
      <c r="C365" s="5">
        <v>8099389567</v>
      </c>
      <c r="D365" s="5">
        <v>438325412</v>
      </c>
      <c r="E365" s="6" t="s">
        <v>187</v>
      </c>
      <c r="F365" s="6" t="s">
        <v>327</v>
      </c>
      <c r="G365" s="6">
        <v>1000000021</v>
      </c>
      <c r="H365" s="6" t="s">
        <v>322</v>
      </c>
      <c r="I365" s="6">
        <f>IF(SalesData[[#This Row],[Status of Call]]="completed",1,0)</f>
        <v>0</v>
      </c>
      <c r="J365" s="6">
        <f>1</f>
        <v>1</v>
      </c>
      <c r="K365" s="6">
        <f>SalesData[[#This Row],[Completed calls]]/SalesData[[#This Row],[Total calls]]</f>
        <v>0</v>
      </c>
      <c r="L365" s="4">
        <f t="shared" si="21"/>
        <v>0</v>
      </c>
      <c r="M365" s="4">
        <f t="shared" si="20"/>
        <v>1</v>
      </c>
      <c r="N365" s="4">
        <f t="shared" si="22"/>
        <v>0</v>
      </c>
      <c r="O365" s="7">
        <v>46237</v>
      </c>
      <c r="P365" s="9">
        <v>46237.49590277778</v>
      </c>
      <c r="Q365" s="9">
        <v>46237.496030092596</v>
      </c>
      <c r="R365" s="6">
        <v>11</v>
      </c>
      <c r="S365" s="4">
        <f t="shared" si="23"/>
        <v>1</v>
      </c>
      <c r="T365" s="6">
        <v>0.4</v>
      </c>
      <c r="U365" s="6" t="s">
        <v>26</v>
      </c>
      <c r="V365" s="6" t="s">
        <v>255</v>
      </c>
      <c r="W365" s="6"/>
    </row>
    <row r="366" spans="1:23" x14ac:dyDescent="0.3">
      <c r="A366" s="3" t="s">
        <v>495</v>
      </c>
      <c r="B366" s="6" t="s">
        <v>321</v>
      </c>
      <c r="C366" s="5">
        <v>8099389567</v>
      </c>
      <c r="D366" s="5">
        <v>8601450</v>
      </c>
      <c r="E366" s="6" t="s">
        <v>123</v>
      </c>
      <c r="F366" s="6" t="s">
        <v>45</v>
      </c>
      <c r="G366" s="6">
        <v>1000000004</v>
      </c>
      <c r="H366" s="6" t="s">
        <v>332</v>
      </c>
      <c r="I366" s="6">
        <f>IF(SalesData[[#This Row],[Status of Call]]="completed",1,0)</f>
        <v>0</v>
      </c>
      <c r="J366" s="6">
        <f>1</f>
        <v>1</v>
      </c>
      <c r="K366" s="6">
        <f>SalesData[[#This Row],[Completed calls]]/SalesData[[#This Row],[Total calls]]</f>
        <v>0</v>
      </c>
      <c r="L366" s="4">
        <f t="shared" si="21"/>
        <v>0</v>
      </c>
      <c r="M366" s="4">
        <f t="shared" si="20"/>
        <v>1</v>
      </c>
      <c r="N366" s="4">
        <f t="shared" si="22"/>
        <v>0</v>
      </c>
      <c r="O366" s="7">
        <v>46237</v>
      </c>
      <c r="P366" s="9">
        <v>46237.498888888891</v>
      </c>
      <c r="Q366" s="9">
        <v>46237.499386574076</v>
      </c>
      <c r="R366" s="6">
        <v>43</v>
      </c>
      <c r="S366" s="4">
        <f t="shared" si="23"/>
        <v>1</v>
      </c>
      <c r="T366" s="6">
        <v>0.4</v>
      </c>
      <c r="U366" s="6" t="s">
        <v>26</v>
      </c>
      <c r="V366" s="6" t="s">
        <v>42</v>
      </c>
      <c r="W366" s="6"/>
    </row>
    <row r="367" spans="1:23" x14ac:dyDescent="0.3">
      <c r="A367" s="3" t="s">
        <v>496</v>
      </c>
      <c r="B367" s="6" t="s">
        <v>321</v>
      </c>
      <c r="C367" s="5">
        <v>8099389567</v>
      </c>
      <c r="D367" s="5">
        <v>187307575</v>
      </c>
      <c r="E367" s="6" t="s">
        <v>53</v>
      </c>
      <c r="F367" s="6" t="s">
        <v>74</v>
      </c>
      <c r="G367" s="6">
        <v>1000000003</v>
      </c>
      <c r="H367" s="6" t="s">
        <v>332</v>
      </c>
      <c r="I367" s="6">
        <f>IF(SalesData[[#This Row],[Status of Call]]="completed",1,0)</f>
        <v>0</v>
      </c>
      <c r="J367" s="6">
        <f>1</f>
        <v>1</v>
      </c>
      <c r="K367" s="6">
        <f>SalesData[[#This Row],[Completed calls]]/SalesData[[#This Row],[Total calls]]</f>
        <v>0</v>
      </c>
      <c r="L367" s="4">
        <f t="shared" si="21"/>
        <v>0</v>
      </c>
      <c r="M367" s="4">
        <f t="shared" si="20"/>
        <v>1</v>
      </c>
      <c r="N367" s="4">
        <f t="shared" si="22"/>
        <v>0</v>
      </c>
      <c r="O367" s="7">
        <v>46237</v>
      </c>
      <c r="P367" s="9">
        <v>46237.512106481481</v>
      </c>
      <c r="Q367" s="9">
        <v>46237.512592592589</v>
      </c>
      <c r="R367" s="6">
        <v>42</v>
      </c>
      <c r="S367" s="4">
        <f t="shared" si="23"/>
        <v>1</v>
      </c>
      <c r="T367" s="6">
        <v>0.4</v>
      </c>
      <c r="U367" s="6" t="s">
        <v>26</v>
      </c>
      <c r="V367" s="6" t="s">
        <v>42</v>
      </c>
      <c r="W367" s="6"/>
    </row>
    <row r="368" spans="1:23" x14ac:dyDescent="0.3">
      <c r="A368" s="3" t="s">
        <v>497</v>
      </c>
      <c r="B368" s="6" t="s">
        <v>321</v>
      </c>
      <c r="C368" s="5">
        <v>8099389567</v>
      </c>
      <c r="D368" s="5">
        <v>275991506</v>
      </c>
      <c r="E368" s="6" t="s">
        <v>89</v>
      </c>
      <c r="F368" s="6" t="s">
        <v>327</v>
      </c>
      <c r="G368" s="6">
        <v>1000000021</v>
      </c>
      <c r="H368" s="6" t="s">
        <v>32</v>
      </c>
      <c r="I368" s="6">
        <f>IF(SalesData[[#This Row],[Status of Call]]="completed",1,0)</f>
        <v>1</v>
      </c>
      <c r="J368" s="6">
        <f>1</f>
        <v>1</v>
      </c>
      <c r="K368" s="6">
        <f>SalesData[[#This Row],[Completed calls]]/SalesData[[#This Row],[Total calls]]</f>
        <v>1</v>
      </c>
      <c r="L368" s="4">
        <f t="shared" si="21"/>
        <v>0</v>
      </c>
      <c r="M368" s="4">
        <f t="shared" si="20"/>
        <v>1</v>
      </c>
      <c r="N368" s="4">
        <f t="shared" si="22"/>
        <v>0</v>
      </c>
      <c r="O368" s="7">
        <v>46237</v>
      </c>
      <c r="P368" s="9">
        <v>46237.512800925928</v>
      </c>
      <c r="Q368" s="9">
        <v>46237.513321759259</v>
      </c>
      <c r="R368" s="6">
        <v>45</v>
      </c>
      <c r="S368" s="4">
        <f t="shared" si="23"/>
        <v>0</v>
      </c>
      <c r="T368" s="6">
        <v>1.1499999999999999</v>
      </c>
      <c r="U368" s="6" t="s">
        <v>26</v>
      </c>
      <c r="V368" s="6" t="s">
        <v>109</v>
      </c>
      <c r="W368" s="6"/>
    </row>
    <row r="369" spans="1:23" x14ac:dyDescent="0.3">
      <c r="A369" s="3" t="s">
        <v>498</v>
      </c>
      <c r="B369" s="6" t="s">
        <v>321</v>
      </c>
      <c r="C369" s="5">
        <v>8099389567</v>
      </c>
      <c r="D369" s="5">
        <v>542036312</v>
      </c>
      <c r="E369" s="6" t="s">
        <v>60</v>
      </c>
      <c r="F369" s="6" t="s">
        <v>132</v>
      </c>
      <c r="G369" s="6">
        <v>1000000026</v>
      </c>
      <c r="H369" s="6" t="s">
        <v>32</v>
      </c>
      <c r="I369" s="6">
        <f>IF(SalesData[[#This Row],[Status of Call]]="completed",1,0)</f>
        <v>1</v>
      </c>
      <c r="J369" s="6">
        <f>1</f>
        <v>1</v>
      </c>
      <c r="K369" s="6">
        <f>SalesData[[#This Row],[Completed calls]]/SalesData[[#This Row],[Total calls]]</f>
        <v>1</v>
      </c>
      <c r="L369" s="4">
        <f t="shared" si="21"/>
        <v>0</v>
      </c>
      <c r="M369" s="4">
        <f t="shared" si="20"/>
        <v>1</v>
      </c>
      <c r="N369" s="4">
        <f>G376</f>
        <v>0</v>
      </c>
      <c r="O369" s="7">
        <v>46237</v>
      </c>
      <c r="P369" s="9">
        <v>46237.51357638889</v>
      </c>
      <c r="Q369" s="9">
        <v>46237.514097222222</v>
      </c>
      <c r="R369" s="6">
        <v>46</v>
      </c>
      <c r="S369" s="4">
        <f>IF(OR(H369="failed",H369="no-answer",H369="missed-call"),1,0)</f>
        <v>0</v>
      </c>
      <c r="T369" s="6">
        <v>1.1499999999999999</v>
      </c>
      <c r="U369" s="6" t="s">
        <v>26</v>
      </c>
      <c r="V369" s="6" t="s">
        <v>335</v>
      </c>
      <c r="W369" s="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A7AF-77A6-4F64-B52D-636FD2F95A2B}">
  <dimension ref="A1:V371"/>
  <sheetViews>
    <sheetView zoomScale="72" workbookViewId="0">
      <selection activeCell="L3" sqref="L3"/>
    </sheetView>
  </sheetViews>
  <sheetFormatPr defaultRowHeight="14.4" x14ac:dyDescent="0.3"/>
  <cols>
    <col min="1" max="1" width="43.21875" bestFit="1" customWidth="1"/>
    <col min="2" max="2" width="8.33203125" bestFit="1" customWidth="1"/>
    <col min="3" max="3" width="11.33203125" bestFit="1" customWidth="1"/>
    <col min="4" max="4" width="12" bestFit="1" customWidth="1"/>
    <col min="5" max="5" width="11.77734375" bestFit="1" customWidth="1"/>
    <col min="6" max="6" width="13.5546875" bestFit="1" customWidth="1"/>
    <col min="7" max="7" width="17.6640625" bestFit="1" customWidth="1"/>
    <col min="8" max="8" width="14.109375" bestFit="1" customWidth="1"/>
    <col min="9" max="9" width="11.33203125" bestFit="1" customWidth="1"/>
    <col min="10" max="10" width="12.5546875" bestFit="1" customWidth="1"/>
    <col min="11" max="11" width="10.33203125" bestFit="1" customWidth="1"/>
    <col min="22" max="22" width="10" bestFit="1" customWidth="1"/>
  </cols>
  <sheetData>
    <row r="1" spans="1:22" ht="18" x14ac:dyDescent="0.35">
      <c r="A1" s="11" t="s">
        <v>499</v>
      </c>
    </row>
    <row r="3" spans="1:22" x14ac:dyDescent="0.3">
      <c r="A3" s="12" t="s">
        <v>4</v>
      </c>
      <c r="B3" s="12" t="s">
        <v>1</v>
      </c>
      <c r="C3" s="12" t="s">
        <v>7</v>
      </c>
      <c r="D3" s="12" t="s">
        <v>500</v>
      </c>
      <c r="E3" s="12" t="s">
        <v>501</v>
      </c>
      <c r="F3" s="12" t="s">
        <v>502</v>
      </c>
      <c r="G3" s="12" t="s">
        <v>11</v>
      </c>
      <c r="H3" s="12" t="s">
        <v>503</v>
      </c>
      <c r="I3" s="12" t="s">
        <v>504</v>
      </c>
      <c r="J3" s="12" t="s">
        <v>505</v>
      </c>
      <c r="K3" s="12" t="s">
        <v>12</v>
      </c>
    </row>
    <row r="4" spans="1:22" x14ac:dyDescent="0.3">
      <c r="A4" t="str">
        <f>Raw_Data!E2</f>
        <v>Sanjay Nair</v>
      </c>
      <c r="B4" t="str">
        <f>Raw_Data!B2</f>
        <v>Incoming</v>
      </c>
      <c r="C4" t="str">
        <f>Raw_Data!H2</f>
        <v>call-attempt</v>
      </c>
      <c r="D4">
        <f>Raw_Data!L2</f>
        <v>1</v>
      </c>
      <c r="E4">
        <f>Raw_Data!M2</f>
        <v>0</v>
      </c>
      <c r="F4">
        <f>Raw_Data!I2</f>
        <v>0</v>
      </c>
      <c r="G4">
        <f>Raw_Data!N2</f>
        <v>0</v>
      </c>
      <c r="H4">
        <f>Raw_Data!K2</f>
        <v>0</v>
      </c>
      <c r="I4">
        <f>Raw_Data!R2</f>
        <v>8</v>
      </c>
      <c r="J4">
        <f>Raw_Data!T2</f>
        <v>0</v>
      </c>
      <c r="K4" s="14">
        <f>Raw_Data!O2</f>
        <v>46237</v>
      </c>
    </row>
    <row r="5" spans="1:22" x14ac:dyDescent="0.3">
      <c r="A5" t="str">
        <f>Raw_Data!E3</f>
        <v>Pooja Shah</v>
      </c>
      <c r="B5" t="str">
        <f>Raw_Data!B3</f>
        <v>Incoming</v>
      </c>
      <c r="C5" t="str">
        <f>Raw_Data!H3</f>
        <v>call-attempt</v>
      </c>
      <c r="D5">
        <f>Raw_Data!L3</f>
        <v>1</v>
      </c>
      <c r="E5">
        <f>Raw_Data!M3</f>
        <v>0</v>
      </c>
      <c r="F5">
        <f>Raw_Data!I3</f>
        <v>0</v>
      </c>
      <c r="G5">
        <f>Raw_Data!N3</f>
        <v>0</v>
      </c>
      <c r="H5">
        <f>Raw_Data!K3</f>
        <v>0</v>
      </c>
      <c r="I5">
        <f>Raw_Data!R3</f>
        <v>21</v>
      </c>
      <c r="J5">
        <f>Raw_Data!T3</f>
        <v>0</v>
      </c>
      <c r="K5" s="14">
        <f>Raw_Data!O3</f>
        <v>46237</v>
      </c>
    </row>
    <row r="6" spans="1:22" x14ac:dyDescent="0.3">
      <c r="A6" t="str">
        <f>Raw_Data!E4</f>
        <v>Akash Singh</v>
      </c>
      <c r="B6" t="str">
        <f>Raw_Data!B4</f>
        <v>Incoming</v>
      </c>
      <c r="C6" t="str">
        <f>Raw_Data!H4</f>
        <v>completed</v>
      </c>
      <c r="D6">
        <f>Raw_Data!L4</f>
        <v>1</v>
      </c>
      <c r="E6">
        <f>Raw_Data!M4</f>
        <v>0</v>
      </c>
      <c r="F6">
        <f>Raw_Data!I4</f>
        <v>1</v>
      </c>
      <c r="G6">
        <f>Raw_Data!N4</f>
        <v>1</v>
      </c>
      <c r="H6">
        <f>Raw_Data!K4</f>
        <v>1</v>
      </c>
      <c r="I6">
        <f>Raw_Data!R4</f>
        <v>426</v>
      </c>
      <c r="J6">
        <f>Raw_Data!T4</f>
        <v>2.8</v>
      </c>
      <c r="K6" s="14">
        <f>Raw_Data!O4</f>
        <v>46237</v>
      </c>
      <c r="V6">
        <f>SalesData[[#This Row],[Sales Person Number]]</f>
        <v>925746665</v>
      </c>
    </row>
    <row r="7" spans="1:22" x14ac:dyDescent="0.3">
      <c r="A7" t="str">
        <f>Raw_Data!E5</f>
        <v>Priya Nair</v>
      </c>
      <c r="B7" t="str">
        <f>Raw_Data!B5</f>
        <v>Incoming</v>
      </c>
      <c r="C7" t="str">
        <f>Raw_Data!H5</f>
        <v>completed</v>
      </c>
      <c r="D7">
        <f>Raw_Data!L5</f>
        <v>1</v>
      </c>
      <c r="E7">
        <f>Raw_Data!M5</f>
        <v>0</v>
      </c>
      <c r="F7">
        <f>Raw_Data!I5</f>
        <v>1</v>
      </c>
      <c r="G7">
        <f>Raw_Data!N5</f>
        <v>1</v>
      </c>
      <c r="H7">
        <f>Raw_Data!K5</f>
        <v>1</v>
      </c>
      <c r="I7">
        <f>Raw_Data!R5</f>
        <v>97</v>
      </c>
      <c r="J7">
        <f>Raw_Data!T5</f>
        <v>0.4</v>
      </c>
      <c r="K7" s="14">
        <f>Raw_Data!O5</f>
        <v>46237</v>
      </c>
    </row>
    <row r="8" spans="1:22" x14ac:dyDescent="0.3">
      <c r="A8" t="str">
        <f>Raw_Data!E6</f>
        <v>Anjali Menon</v>
      </c>
      <c r="B8" t="str">
        <f>Raw_Data!B6</f>
        <v>Incoming</v>
      </c>
      <c r="C8" t="str">
        <f>Raw_Data!H6</f>
        <v>completed</v>
      </c>
      <c r="D8">
        <f>Raw_Data!L6</f>
        <v>1</v>
      </c>
      <c r="E8">
        <f>Raw_Data!M6</f>
        <v>0</v>
      </c>
      <c r="F8">
        <f>Raw_Data!I6</f>
        <v>1</v>
      </c>
      <c r="G8">
        <f>Raw_Data!N6</f>
        <v>1</v>
      </c>
      <c r="H8">
        <f>Raw_Data!K6</f>
        <v>1</v>
      </c>
      <c r="I8">
        <f>Raw_Data!R6</f>
        <v>768</v>
      </c>
      <c r="J8">
        <f>Raw_Data!T6</f>
        <v>5.2</v>
      </c>
      <c r="K8" s="14">
        <f>Raw_Data!O6</f>
        <v>46237</v>
      </c>
    </row>
    <row r="9" spans="1:22" x14ac:dyDescent="0.3">
      <c r="A9" t="str">
        <f>Raw_Data!E7</f>
        <v>Shreya Iyer</v>
      </c>
      <c r="B9" t="str">
        <f>Raw_Data!B7</f>
        <v>Incoming</v>
      </c>
      <c r="C9" t="str">
        <f>Raw_Data!H7</f>
        <v>call-attempt</v>
      </c>
      <c r="D9">
        <f>Raw_Data!L7</f>
        <v>1</v>
      </c>
      <c r="E9">
        <f>Raw_Data!M7</f>
        <v>0</v>
      </c>
      <c r="F9">
        <f>Raw_Data!I7</f>
        <v>0</v>
      </c>
      <c r="G9">
        <f>Raw_Data!N7</f>
        <v>0</v>
      </c>
      <c r="H9">
        <f>Raw_Data!K7</f>
        <v>0</v>
      </c>
      <c r="I9">
        <f>Raw_Data!R7</f>
        <v>7</v>
      </c>
      <c r="J9">
        <f>Raw_Data!T7</f>
        <v>0</v>
      </c>
      <c r="K9" s="14">
        <f>Raw_Data!O7</f>
        <v>46237</v>
      </c>
    </row>
    <row r="10" spans="1:22" x14ac:dyDescent="0.3">
      <c r="A10" t="str">
        <f>Raw_Data!E8</f>
        <v>Meera Joshi</v>
      </c>
      <c r="B10" t="str">
        <f>Raw_Data!B8</f>
        <v>Incoming</v>
      </c>
      <c r="C10" t="str">
        <f>Raw_Data!H8</f>
        <v>completed</v>
      </c>
      <c r="D10">
        <f>Raw_Data!L8</f>
        <v>1</v>
      </c>
      <c r="E10">
        <f>Raw_Data!M8</f>
        <v>0</v>
      </c>
      <c r="F10">
        <f>Raw_Data!I8</f>
        <v>1</v>
      </c>
      <c r="G10">
        <f>Raw_Data!N8</f>
        <v>1</v>
      </c>
      <c r="H10">
        <f>Raw_Data!K8</f>
        <v>1</v>
      </c>
      <c r="I10">
        <f>Raw_Data!R8</f>
        <v>34</v>
      </c>
      <c r="J10">
        <f>Raw_Data!T8</f>
        <v>0.4</v>
      </c>
      <c r="K10" s="14">
        <f>Raw_Data!O8</f>
        <v>46237</v>
      </c>
    </row>
    <row r="11" spans="1:22" x14ac:dyDescent="0.3">
      <c r="A11" t="str">
        <f>Raw_Data!E9</f>
        <v>Karan Malhotra</v>
      </c>
      <c r="B11" t="str">
        <f>Raw_Data!B9</f>
        <v>Incoming</v>
      </c>
      <c r="C11" t="str">
        <f>Raw_Data!H9</f>
        <v>missed-call</v>
      </c>
      <c r="D11">
        <f>Raw_Data!L9</f>
        <v>1</v>
      </c>
      <c r="E11">
        <f>Raw_Data!M9</f>
        <v>0</v>
      </c>
      <c r="F11">
        <f>Raw_Data!I9</f>
        <v>0</v>
      </c>
      <c r="G11">
        <f>Raw_Data!N9</f>
        <v>0</v>
      </c>
      <c r="H11">
        <f>Raw_Data!K9</f>
        <v>0</v>
      </c>
      <c r="I11">
        <f>Raw_Data!R9</f>
        <v>46</v>
      </c>
      <c r="J11">
        <f>Raw_Data!T9</f>
        <v>0</v>
      </c>
      <c r="K11" s="14">
        <f>Raw_Data!O9</f>
        <v>46237</v>
      </c>
    </row>
    <row r="12" spans="1:22" x14ac:dyDescent="0.3">
      <c r="A12" t="str">
        <f>Raw_Data!E10</f>
        <v>Rohan Mehta</v>
      </c>
      <c r="B12" t="str">
        <f>Raw_Data!B10</f>
        <v>Incoming</v>
      </c>
      <c r="C12" t="str">
        <f>Raw_Data!H10</f>
        <v>completed</v>
      </c>
      <c r="D12">
        <f>Raw_Data!L10</f>
        <v>1</v>
      </c>
      <c r="E12">
        <f>Raw_Data!M10</f>
        <v>0</v>
      </c>
      <c r="F12">
        <f>Raw_Data!I10</f>
        <v>1</v>
      </c>
      <c r="G12">
        <f>Raw_Data!N10</f>
        <v>1</v>
      </c>
      <c r="H12">
        <f>Raw_Data!K10</f>
        <v>1</v>
      </c>
      <c r="I12">
        <f>Raw_Data!R10</f>
        <v>355</v>
      </c>
      <c r="J12">
        <f>Raw_Data!T10</f>
        <v>2.4</v>
      </c>
      <c r="K12" s="14">
        <f>Raw_Data!O10</f>
        <v>46237</v>
      </c>
    </row>
    <row r="13" spans="1:22" x14ac:dyDescent="0.3">
      <c r="A13" t="str">
        <f>Raw_Data!E11</f>
        <v>Siddharth Jain</v>
      </c>
      <c r="B13" t="str">
        <f>Raw_Data!B11</f>
        <v>Incoming</v>
      </c>
      <c r="C13" t="str">
        <f>Raw_Data!H11</f>
        <v>completed</v>
      </c>
      <c r="D13">
        <f>Raw_Data!L11</f>
        <v>1</v>
      </c>
      <c r="E13">
        <f>Raw_Data!M11</f>
        <v>0</v>
      </c>
      <c r="F13">
        <f>Raw_Data!I11</f>
        <v>1</v>
      </c>
      <c r="G13">
        <f>Raw_Data!N11</f>
        <v>1</v>
      </c>
      <c r="H13">
        <f>Raw_Data!K11</f>
        <v>1</v>
      </c>
      <c r="I13">
        <f>Raw_Data!R11</f>
        <v>61</v>
      </c>
      <c r="J13">
        <f>Raw_Data!T11</f>
        <v>0.4</v>
      </c>
      <c r="K13" s="14">
        <f>Raw_Data!O11</f>
        <v>46237</v>
      </c>
    </row>
    <row r="14" spans="1:22" x14ac:dyDescent="0.3">
      <c r="A14" t="str">
        <f>Raw_Data!E12</f>
        <v>Akash Singh</v>
      </c>
      <c r="B14" t="str">
        <f>Raw_Data!B12</f>
        <v>Incoming</v>
      </c>
      <c r="C14" t="str">
        <f>Raw_Data!H12</f>
        <v>call-attempt</v>
      </c>
      <c r="D14">
        <f>Raw_Data!L12</f>
        <v>1</v>
      </c>
      <c r="E14">
        <f>Raw_Data!M12</f>
        <v>0</v>
      </c>
      <c r="F14">
        <f>Raw_Data!I12</f>
        <v>0</v>
      </c>
      <c r="G14">
        <f>Raw_Data!N12</f>
        <v>0</v>
      </c>
      <c r="H14">
        <f>Raw_Data!K12</f>
        <v>0</v>
      </c>
      <c r="I14">
        <f>Raw_Data!R12</f>
        <v>15</v>
      </c>
      <c r="J14">
        <f>Raw_Data!T12</f>
        <v>0</v>
      </c>
      <c r="K14" s="14">
        <f>Raw_Data!O12</f>
        <v>46237</v>
      </c>
    </row>
    <row r="15" spans="1:22" x14ac:dyDescent="0.3">
      <c r="A15" t="str">
        <f>Raw_Data!E13</f>
        <v>Neha Gupta</v>
      </c>
      <c r="B15" t="str">
        <f>Raw_Data!B13</f>
        <v>Incoming</v>
      </c>
      <c r="C15" t="str">
        <f>Raw_Data!H13</f>
        <v>missed-call</v>
      </c>
      <c r="D15">
        <f>Raw_Data!L13</f>
        <v>1</v>
      </c>
      <c r="E15">
        <f>Raw_Data!M13</f>
        <v>0</v>
      </c>
      <c r="F15">
        <f>Raw_Data!I13</f>
        <v>0</v>
      </c>
      <c r="G15">
        <f>Raw_Data!N13</f>
        <v>0</v>
      </c>
      <c r="H15">
        <f>Raw_Data!K13</f>
        <v>0</v>
      </c>
      <c r="I15">
        <f>Raw_Data!R13</f>
        <v>50</v>
      </c>
      <c r="J15">
        <f>Raw_Data!T13</f>
        <v>0</v>
      </c>
      <c r="K15" s="14">
        <f>Raw_Data!O13</f>
        <v>46237</v>
      </c>
    </row>
    <row r="16" spans="1:22" x14ac:dyDescent="0.3">
      <c r="A16" t="str">
        <f>Raw_Data!E14</f>
        <v>Varun Iyer</v>
      </c>
      <c r="B16" t="str">
        <f>Raw_Data!B14</f>
        <v>Incoming</v>
      </c>
      <c r="C16" t="str">
        <f>Raw_Data!H14</f>
        <v>call-attempt</v>
      </c>
      <c r="D16">
        <f>Raw_Data!L14</f>
        <v>1</v>
      </c>
      <c r="E16">
        <f>Raw_Data!M14</f>
        <v>0</v>
      </c>
      <c r="F16">
        <f>Raw_Data!I14</f>
        <v>0</v>
      </c>
      <c r="G16">
        <f>Raw_Data!N14</f>
        <v>0</v>
      </c>
      <c r="H16">
        <f>Raw_Data!K14</f>
        <v>0</v>
      </c>
      <c r="I16">
        <f>Raw_Data!R14</f>
        <v>18</v>
      </c>
      <c r="J16">
        <f>Raw_Data!T14</f>
        <v>0</v>
      </c>
      <c r="K16" s="14">
        <f>Raw_Data!O14</f>
        <v>46236</v>
      </c>
    </row>
    <row r="17" spans="1:11" x14ac:dyDescent="0.3">
      <c r="A17" t="str">
        <f>Raw_Data!E15</f>
        <v>Nandini Das</v>
      </c>
      <c r="B17" t="str">
        <f>Raw_Data!B15</f>
        <v>Incoming</v>
      </c>
      <c r="C17" t="str">
        <f>Raw_Data!H15</f>
        <v>completed</v>
      </c>
      <c r="D17">
        <f>Raw_Data!L15</f>
        <v>1</v>
      </c>
      <c r="E17">
        <f>Raw_Data!M15</f>
        <v>0</v>
      </c>
      <c r="F17">
        <f>Raw_Data!I15</f>
        <v>1</v>
      </c>
      <c r="G17">
        <f>Raw_Data!N15</f>
        <v>1</v>
      </c>
      <c r="H17">
        <f>Raw_Data!K15</f>
        <v>1</v>
      </c>
      <c r="I17">
        <f>Raw_Data!R15</f>
        <v>1190</v>
      </c>
      <c r="J17">
        <f>Raw_Data!T15</f>
        <v>8</v>
      </c>
      <c r="K17" s="14">
        <f>Raw_Data!O15</f>
        <v>46237</v>
      </c>
    </row>
    <row r="18" spans="1:11" x14ac:dyDescent="0.3">
      <c r="A18" t="str">
        <f>Raw_Data!E16</f>
        <v>Sakshi Joshi</v>
      </c>
      <c r="B18" t="str">
        <f>Raw_Data!B16</f>
        <v>Incoming</v>
      </c>
      <c r="C18" t="str">
        <f>Raw_Data!H16</f>
        <v>completed</v>
      </c>
      <c r="D18">
        <f>Raw_Data!L16</f>
        <v>1</v>
      </c>
      <c r="E18">
        <f>Raw_Data!M16</f>
        <v>0</v>
      </c>
      <c r="F18">
        <f>Raw_Data!I16</f>
        <v>1</v>
      </c>
      <c r="G18">
        <f>Raw_Data!N16</f>
        <v>1</v>
      </c>
      <c r="H18">
        <f>Raw_Data!K16</f>
        <v>1</v>
      </c>
      <c r="I18">
        <f>Raw_Data!R16</f>
        <v>248</v>
      </c>
      <c r="J18">
        <f>Raw_Data!T16</f>
        <v>1.6</v>
      </c>
      <c r="K18" s="14">
        <f>Raw_Data!O16</f>
        <v>46237</v>
      </c>
    </row>
    <row r="19" spans="1:11" x14ac:dyDescent="0.3">
      <c r="A19" t="str">
        <f>Raw_Data!E17</f>
        <v>Rahul Verma</v>
      </c>
      <c r="B19" t="str">
        <f>Raw_Data!B17</f>
        <v>Incoming</v>
      </c>
      <c r="C19" t="str">
        <f>Raw_Data!H17</f>
        <v>call-attempt</v>
      </c>
      <c r="D19">
        <f>Raw_Data!L17</f>
        <v>1</v>
      </c>
      <c r="E19">
        <f>Raw_Data!M17</f>
        <v>0</v>
      </c>
      <c r="F19">
        <f>Raw_Data!I17</f>
        <v>0</v>
      </c>
      <c r="G19">
        <f>Raw_Data!N17</f>
        <v>0</v>
      </c>
      <c r="H19">
        <f>Raw_Data!K17</f>
        <v>0</v>
      </c>
      <c r="I19">
        <f>Raw_Data!R17</f>
        <v>10</v>
      </c>
      <c r="J19">
        <f>Raw_Data!T17</f>
        <v>0</v>
      </c>
      <c r="K19" s="14">
        <f>Raw_Data!O17</f>
        <v>46237</v>
      </c>
    </row>
    <row r="20" spans="1:11" x14ac:dyDescent="0.3">
      <c r="A20" t="str">
        <f>Raw_Data!E18</f>
        <v>Riya Mehta</v>
      </c>
      <c r="B20" t="str">
        <f>Raw_Data!B18</f>
        <v>Incoming</v>
      </c>
      <c r="C20" t="str">
        <f>Raw_Data!H18</f>
        <v>call-attempt</v>
      </c>
      <c r="D20">
        <f>Raw_Data!L18</f>
        <v>1</v>
      </c>
      <c r="E20">
        <f>Raw_Data!M18</f>
        <v>0</v>
      </c>
      <c r="F20">
        <f>Raw_Data!I18</f>
        <v>0</v>
      </c>
      <c r="G20">
        <f>Raw_Data!N18</f>
        <v>0</v>
      </c>
      <c r="H20">
        <f>Raw_Data!K18</f>
        <v>0</v>
      </c>
      <c r="I20">
        <f>Raw_Data!R18</f>
        <v>7</v>
      </c>
      <c r="J20">
        <f>Raw_Data!T18</f>
        <v>0</v>
      </c>
      <c r="K20" s="14">
        <f>Raw_Data!O18</f>
        <v>46237</v>
      </c>
    </row>
    <row r="21" spans="1:11" x14ac:dyDescent="0.3">
      <c r="A21" t="str">
        <f>Raw_Data!E19</f>
        <v>Riya Mehta</v>
      </c>
      <c r="B21" t="str">
        <f>Raw_Data!B19</f>
        <v>Incoming</v>
      </c>
      <c r="C21" t="str">
        <f>Raw_Data!H19</f>
        <v>completed</v>
      </c>
      <c r="D21">
        <f>Raw_Data!L19</f>
        <v>1</v>
      </c>
      <c r="E21">
        <f>Raw_Data!M19</f>
        <v>0</v>
      </c>
      <c r="F21">
        <f>Raw_Data!I19</f>
        <v>1</v>
      </c>
      <c r="G21">
        <f>Raw_Data!N19</f>
        <v>1</v>
      </c>
      <c r="H21">
        <f>Raw_Data!K19</f>
        <v>1</v>
      </c>
      <c r="I21">
        <f>Raw_Data!R19</f>
        <v>583</v>
      </c>
      <c r="J21">
        <f>Raw_Data!T19</f>
        <v>4</v>
      </c>
      <c r="K21" s="14">
        <f>Raw_Data!O19</f>
        <v>46237</v>
      </c>
    </row>
    <row r="22" spans="1:11" x14ac:dyDescent="0.3">
      <c r="A22" t="str">
        <f>Raw_Data!E20</f>
        <v>Vikram Patel</v>
      </c>
      <c r="B22" t="str">
        <f>Raw_Data!B20</f>
        <v>Incoming</v>
      </c>
      <c r="C22" t="str">
        <f>Raw_Data!H20</f>
        <v>missed-call</v>
      </c>
      <c r="D22">
        <f>Raw_Data!L20</f>
        <v>1</v>
      </c>
      <c r="E22">
        <f>Raw_Data!M20</f>
        <v>0</v>
      </c>
      <c r="F22">
        <f>Raw_Data!I20</f>
        <v>0</v>
      </c>
      <c r="G22">
        <f>Raw_Data!N20</f>
        <v>0</v>
      </c>
      <c r="H22">
        <f>Raw_Data!K20</f>
        <v>0</v>
      </c>
      <c r="I22">
        <f>Raw_Data!R20</f>
        <v>43</v>
      </c>
      <c r="J22">
        <f>Raw_Data!T20</f>
        <v>0</v>
      </c>
      <c r="K22" s="14">
        <f>Raw_Data!O20</f>
        <v>46237</v>
      </c>
    </row>
    <row r="23" spans="1:11" x14ac:dyDescent="0.3">
      <c r="A23" t="str">
        <f>Raw_Data!E21</f>
        <v>Ishita Kapoor</v>
      </c>
      <c r="B23" t="str">
        <f>Raw_Data!B21</f>
        <v>Incoming</v>
      </c>
      <c r="C23" t="str">
        <f>Raw_Data!H21</f>
        <v>missed-call</v>
      </c>
      <c r="D23">
        <f>Raw_Data!L21</f>
        <v>1</v>
      </c>
      <c r="E23">
        <f>Raw_Data!M21</f>
        <v>0</v>
      </c>
      <c r="F23">
        <f>Raw_Data!I21</f>
        <v>0</v>
      </c>
      <c r="G23">
        <f>Raw_Data!N21</f>
        <v>0</v>
      </c>
      <c r="H23">
        <f>Raw_Data!K21</f>
        <v>0</v>
      </c>
      <c r="I23">
        <f>Raw_Data!R21</f>
        <v>82</v>
      </c>
      <c r="J23">
        <f>Raw_Data!T21</f>
        <v>0</v>
      </c>
      <c r="K23" s="14">
        <f>Raw_Data!O21</f>
        <v>46236</v>
      </c>
    </row>
    <row r="24" spans="1:11" x14ac:dyDescent="0.3">
      <c r="A24" t="str">
        <f>Raw_Data!E22</f>
        <v>Vikram Patel</v>
      </c>
      <c r="B24" t="str">
        <f>Raw_Data!B22</f>
        <v>Incoming</v>
      </c>
      <c r="C24" t="str">
        <f>Raw_Data!H22</f>
        <v>call-attempt</v>
      </c>
      <c r="D24">
        <f>Raw_Data!L22</f>
        <v>1</v>
      </c>
      <c r="E24">
        <f>Raw_Data!M22</f>
        <v>0</v>
      </c>
      <c r="F24">
        <f>Raw_Data!I22</f>
        <v>0</v>
      </c>
      <c r="G24">
        <f>Raw_Data!N22</f>
        <v>0</v>
      </c>
      <c r="H24">
        <f>Raw_Data!K22</f>
        <v>0</v>
      </c>
      <c r="I24">
        <f>Raw_Data!R22</f>
        <v>12</v>
      </c>
      <c r="J24">
        <f>Raw_Data!T22</f>
        <v>0</v>
      </c>
      <c r="K24" s="14">
        <f>Raw_Data!O22</f>
        <v>46237</v>
      </c>
    </row>
    <row r="25" spans="1:11" x14ac:dyDescent="0.3">
      <c r="A25" t="str">
        <f>Raw_Data!E23</f>
        <v>Nisha Verma</v>
      </c>
      <c r="B25" t="str">
        <f>Raw_Data!B23</f>
        <v>Incoming</v>
      </c>
      <c r="C25" t="str">
        <f>Raw_Data!H23</f>
        <v>completed</v>
      </c>
      <c r="D25">
        <f>Raw_Data!L23</f>
        <v>1</v>
      </c>
      <c r="E25">
        <f>Raw_Data!M23</f>
        <v>0</v>
      </c>
      <c r="F25">
        <f>Raw_Data!I23</f>
        <v>1</v>
      </c>
      <c r="G25">
        <f>Raw_Data!N23</f>
        <v>1</v>
      </c>
      <c r="H25">
        <f>Raw_Data!K23</f>
        <v>1</v>
      </c>
      <c r="I25">
        <f>Raw_Data!R23</f>
        <v>130</v>
      </c>
      <c r="J25">
        <f>Raw_Data!T23</f>
        <v>0.4</v>
      </c>
      <c r="K25" s="14">
        <f>Raw_Data!O23</f>
        <v>46237</v>
      </c>
    </row>
    <row r="26" spans="1:11" x14ac:dyDescent="0.3">
      <c r="A26" t="str">
        <f>Raw_Data!E24</f>
        <v>Nandini Das</v>
      </c>
      <c r="B26" t="str">
        <f>Raw_Data!B24</f>
        <v>Incoming</v>
      </c>
      <c r="C26" t="str">
        <f>Raw_Data!H24</f>
        <v>completed</v>
      </c>
      <c r="D26">
        <f>Raw_Data!L24</f>
        <v>1</v>
      </c>
      <c r="E26">
        <f>Raw_Data!M24</f>
        <v>0</v>
      </c>
      <c r="F26">
        <f>Raw_Data!I24</f>
        <v>1</v>
      </c>
      <c r="G26">
        <f>Raw_Data!N24</f>
        <v>1</v>
      </c>
      <c r="H26">
        <f>Raw_Data!K24</f>
        <v>1</v>
      </c>
      <c r="I26">
        <f>Raw_Data!R24</f>
        <v>155</v>
      </c>
      <c r="J26">
        <f>Raw_Data!T24</f>
        <v>0.8</v>
      </c>
      <c r="K26" s="14">
        <f>Raw_Data!O24</f>
        <v>46237</v>
      </c>
    </row>
    <row r="27" spans="1:11" x14ac:dyDescent="0.3">
      <c r="A27" t="str">
        <f>Raw_Data!E25</f>
        <v>Siddharth Jain</v>
      </c>
      <c r="B27" t="str">
        <f>Raw_Data!B25</f>
        <v>Incoming</v>
      </c>
      <c r="C27" t="str">
        <f>Raw_Data!H25</f>
        <v>completed</v>
      </c>
      <c r="D27">
        <f>Raw_Data!L25</f>
        <v>1</v>
      </c>
      <c r="E27">
        <f>Raw_Data!M25</f>
        <v>0</v>
      </c>
      <c r="F27">
        <f>Raw_Data!I25</f>
        <v>1</v>
      </c>
      <c r="G27">
        <f>Raw_Data!N25</f>
        <v>1</v>
      </c>
      <c r="H27">
        <f>Raw_Data!K25</f>
        <v>1</v>
      </c>
      <c r="I27">
        <f>Raw_Data!R25</f>
        <v>494</v>
      </c>
      <c r="J27">
        <f>Raw_Data!T25</f>
        <v>3.2</v>
      </c>
      <c r="K27" s="14">
        <f>Raw_Data!O25</f>
        <v>46237</v>
      </c>
    </row>
    <row r="28" spans="1:11" x14ac:dyDescent="0.3">
      <c r="A28" t="str">
        <f>Raw_Data!E26</f>
        <v>Ananya Sharma</v>
      </c>
      <c r="B28" t="str">
        <f>Raw_Data!B26</f>
        <v>Incoming</v>
      </c>
      <c r="C28" t="str">
        <f>Raw_Data!H26</f>
        <v>call-attempt</v>
      </c>
      <c r="D28">
        <f>Raw_Data!L26</f>
        <v>1</v>
      </c>
      <c r="E28">
        <f>Raw_Data!M26</f>
        <v>0</v>
      </c>
      <c r="F28">
        <f>Raw_Data!I26</f>
        <v>0</v>
      </c>
      <c r="G28">
        <f>Raw_Data!N26</f>
        <v>0</v>
      </c>
      <c r="H28">
        <f>Raw_Data!K26</f>
        <v>0</v>
      </c>
      <c r="I28">
        <f>Raw_Data!R26</f>
        <v>11</v>
      </c>
      <c r="J28">
        <f>Raw_Data!T26</f>
        <v>0</v>
      </c>
      <c r="K28" s="14">
        <f>Raw_Data!O26</f>
        <v>46237</v>
      </c>
    </row>
    <row r="29" spans="1:11" x14ac:dyDescent="0.3">
      <c r="A29" t="str">
        <f>Raw_Data!E27</f>
        <v>Sanjay Nair</v>
      </c>
      <c r="B29" t="str">
        <f>Raw_Data!B27</f>
        <v>Incoming</v>
      </c>
      <c r="C29" t="str">
        <f>Raw_Data!H27</f>
        <v>completed</v>
      </c>
      <c r="D29">
        <f>Raw_Data!L27</f>
        <v>1</v>
      </c>
      <c r="E29">
        <f>Raw_Data!M27</f>
        <v>0</v>
      </c>
      <c r="F29">
        <f>Raw_Data!I27</f>
        <v>1</v>
      </c>
      <c r="G29">
        <f>Raw_Data!N27</f>
        <v>1</v>
      </c>
      <c r="H29">
        <f>Raw_Data!K27</f>
        <v>1</v>
      </c>
      <c r="I29">
        <f>Raw_Data!R27</f>
        <v>163</v>
      </c>
      <c r="J29">
        <f>Raw_Data!T27</f>
        <v>0.8</v>
      </c>
      <c r="K29" s="14">
        <f>Raw_Data!O27</f>
        <v>46237</v>
      </c>
    </row>
    <row r="30" spans="1:11" x14ac:dyDescent="0.3">
      <c r="A30" t="str">
        <f>Raw_Data!E28</f>
        <v>Deepak Yadav</v>
      </c>
      <c r="B30" t="str">
        <f>Raw_Data!B28</f>
        <v>Incoming</v>
      </c>
      <c r="C30" t="str">
        <f>Raw_Data!H28</f>
        <v>completed</v>
      </c>
      <c r="D30">
        <f>Raw_Data!L28</f>
        <v>1</v>
      </c>
      <c r="E30">
        <f>Raw_Data!M28</f>
        <v>0</v>
      </c>
      <c r="F30">
        <f>Raw_Data!I28</f>
        <v>1</v>
      </c>
      <c r="G30">
        <f>Raw_Data!N28</f>
        <v>1</v>
      </c>
      <c r="H30">
        <f>Raw_Data!K28</f>
        <v>1</v>
      </c>
      <c r="I30">
        <f>Raw_Data!R28</f>
        <v>96</v>
      </c>
      <c r="J30">
        <f>Raw_Data!T28</f>
        <v>0.4</v>
      </c>
      <c r="K30" s="14">
        <f>Raw_Data!O28</f>
        <v>46237</v>
      </c>
    </row>
    <row r="31" spans="1:11" x14ac:dyDescent="0.3">
      <c r="A31" t="str">
        <f>Raw_Data!E29</f>
        <v>Aarav Sharma</v>
      </c>
      <c r="B31" t="str">
        <f>Raw_Data!B29</f>
        <v>Incoming</v>
      </c>
      <c r="C31" t="str">
        <f>Raw_Data!H29</f>
        <v>call-attempt</v>
      </c>
      <c r="D31">
        <f>Raw_Data!L29</f>
        <v>1</v>
      </c>
      <c r="E31">
        <f>Raw_Data!M29</f>
        <v>0</v>
      </c>
      <c r="F31">
        <f>Raw_Data!I29</f>
        <v>0</v>
      </c>
      <c r="G31">
        <f>Raw_Data!N29</f>
        <v>0</v>
      </c>
      <c r="H31">
        <f>Raw_Data!K29</f>
        <v>0</v>
      </c>
      <c r="I31">
        <f>Raw_Data!R29</f>
        <v>11</v>
      </c>
      <c r="J31">
        <f>Raw_Data!T29</f>
        <v>0</v>
      </c>
      <c r="K31" s="14">
        <f>Raw_Data!O29</f>
        <v>46237</v>
      </c>
    </row>
    <row r="32" spans="1:11" x14ac:dyDescent="0.3">
      <c r="A32" t="str">
        <f>Raw_Data!E30</f>
        <v>Riya Mehta</v>
      </c>
      <c r="B32" t="str">
        <f>Raw_Data!B30</f>
        <v>Incoming</v>
      </c>
      <c r="C32" t="str">
        <f>Raw_Data!H30</f>
        <v>call-attempt</v>
      </c>
      <c r="D32">
        <f>Raw_Data!L30</f>
        <v>1</v>
      </c>
      <c r="E32">
        <f>Raw_Data!M30</f>
        <v>0</v>
      </c>
      <c r="F32">
        <f>Raw_Data!I30</f>
        <v>0</v>
      </c>
      <c r="G32">
        <f>Raw_Data!N30</f>
        <v>0</v>
      </c>
      <c r="H32">
        <f>Raw_Data!K30</f>
        <v>0</v>
      </c>
      <c r="I32">
        <f>Raw_Data!R30</f>
        <v>8</v>
      </c>
      <c r="J32">
        <f>Raw_Data!T30</f>
        <v>0</v>
      </c>
      <c r="K32" s="14">
        <f>Raw_Data!O30</f>
        <v>46237</v>
      </c>
    </row>
    <row r="33" spans="1:11" x14ac:dyDescent="0.3">
      <c r="A33" t="str">
        <f>Raw_Data!E31</f>
        <v>Ananya Sharma</v>
      </c>
      <c r="B33" t="str">
        <f>Raw_Data!B31</f>
        <v>Incoming</v>
      </c>
      <c r="C33" t="str">
        <f>Raw_Data!H31</f>
        <v>completed</v>
      </c>
      <c r="D33">
        <f>Raw_Data!L31</f>
        <v>1</v>
      </c>
      <c r="E33">
        <f>Raw_Data!M31</f>
        <v>0</v>
      </c>
      <c r="F33">
        <f>Raw_Data!I31</f>
        <v>1</v>
      </c>
      <c r="G33">
        <f>Raw_Data!N31</f>
        <v>1</v>
      </c>
      <c r="H33">
        <f>Raw_Data!K31</f>
        <v>1</v>
      </c>
      <c r="I33">
        <f>Raw_Data!R31</f>
        <v>156</v>
      </c>
      <c r="J33">
        <f>Raw_Data!T31</f>
        <v>0.4</v>
      </c>
      <c r="K33" s="14">
        <f>Raw_Data!O31</f>
        <v>46237</v>
      </c>
    </row>
    <row r="34" spans="1:11" x14ac:dyDescent="0.3">
      <c r="A34" t="str">
        <f>Raw_Data!E32</f>
        <v>Kriti Singh</v>
      </c>
      <c r="B34" t="str">
        <f>Raw_Data!B32</f>
        <v>Incoming</v>
      </c>
      <c r="C34" t="str">
        <f>Raw_Data!H32</f>
        <v>completed</v>
      </c>
      <c r="D34">
        <f>Raw_Data!L32</f>
        <v>1</v>
      </c>
      <c r="E34">
        <f>Raw_Data!M32</f>
        <v>0</v>
      </c>
      <c r="F34">
        <f>Raw_Data!I32</f>
        <v>1</v>
      </c>
      <c r="G34">
        <f>Raw_Data!N32</f>
        <v>1</v>
      </c>
      <c r="H34">
        <f>Raw_Data!K32</f>
        <v>1</v>
      </c>
      <c r="I34">
        <f>Raw_Data!R32</f>
        <v>412</v>
      </c>
      <c r="J34">
        <f>Raw_Data!T32</f>
        <v>2.8</v>
      </c>
      <c r="K34" s="14">
        <f>Raw_Data!O32</f>
        <v>46236</v>
      </c>
    </row>
    <row r="35" spans="1:11" x14ac:dyDescent="0.3">
      <c r="A35" t="str">
        <f>Raw_Data!E33</f>
        <v>Nisha Verma</v>
      </c>
      <c r="B35" t="str">
        <f>Raw_Data!B33</f>
        <v>Incoming</v>
      </c>
      <c r="C35" t="str">
        <f>Raw_Data!H33</f>
        <v>call-attempt</v>
      </c>
      <c r="D35">
        <f>Raw_Data!L33</f>
        <v>1</v>
      </c>
      <c r="E35">
        <f>Raw_Data!M33</f>
        <v>0</v>
      </c>
      <c r="F35">
        <f>Raw_Data!I33</f>
        <v>0</v>
      </c>
      <c r="G35">
        <f>Raw_Data!N33</f>
        <v>0</v>
      </c>
      <c r="H35">
        <f>Raw_Data!K33</f>
        <v>0</v>
      </c>
      <c r="I35">
        <f>Raw_Data!R33</f>
        <v>20</v>
      </c>
      <c r="J35">
        <f>Raw_Data!T33</f>
        <v>0</v>
      </c>
      <c r="K35" s="14">
        <f>Raw_Data!O33</f>
        <v>46237</v>
      </c>
    </row>
    <row r="36" spans="1:11" x14ac:dyDescent="0.3">
      <c r="A36" t="str">
        <f>Raw_Data!E34</f>
        <v>Harsh Patel</v>
      </c>
      <c r="B36" t="str">
        <f>Raw_Data!B34</f>
        <v>Incoming</v>
      </c>
      <c r="C36" t="str">
        <f>Raw_Data!H34</f>
        <v>completed</v>
      </c>
      <c r="D36">
        <f>Raw_Data!L34</f>
        <v>1</v>
      </c>
      <c r="E36">
        <f>Raw_Data!M34</f>
        <v>0</v>
      </c>
      <c r="F36">
        <f>Raw_Data!I34</f>
        <v>1</v>
      </c>
      <c r="G36">
        <f>Raw_Data!N34</f>
        <v>1</v>
      </c>
      <c r="H36">
        <f>Raw_Data!K34</f>
        <v>1</v>
      </c>
      <c r="I36">
        <f>Raw_Data!R34</f>
        <v>62</v>
      </c>
      <c r="J36">
        <f>Raw_Data!T34</f>
        <v>0.4</v>
      </c>
      <c r="K36" s="14">
        <f>Raw_Data!O34</f>
        <v>46237</v>
      </c>
    </row>
    <row r="37" spans="1:11" x14ac:dyDescent="0.3">
      <c r="A37" t="str">
        <f>Raw_Data!E35</f>
        <v>Divya Rao</v>
      </c>
      <c r="B37" t="str">
        <f>Raw_Data!B35</f>
        <v>Incoming</v>
      </c>
      <c r="C37" t="str">
        <f>Raw_Data!H35</f>
        <v>completed</v>
      </c>
      <c r="D37">
        <f>Raw_Data!L35</f>
        <v>1</v>
      </c>
      <c r="E37">
        <f>Raw_Data!M35</f>
        <v>0</v>
      </c>
      <c r="F37">
        <f>Raw_Data!I35</f>
        <v>1</v>
      </c>
      <c r="G37">
        <f>Raw_Data!N35</f>
        <v>1</v>
      </c>
      <c r="H37">
        <f>Raw_Data!K35</f>
        <v>1</v>
      </c>
      <c r="I37">
        <f>Raw_Data!R35</f>
        <v>850</v>
      </c>
      <c r="J37">
        <f>Raw_Data!T35</f>
        <v>5.6</v>
      </c>
      <c r="K37" s="14">
        <f>Raw_Data!O35</f>
        <v>46237</v>
      </c>
    </row>
    <row r="38" spans="1:11" x14ac:dyDescent="0.3">
      <c r="A38" t="str">
        <f>Raw_Data!E36</f>
        <v>Aditi Shah</v>
      </c>
      <c r="B38" t="str">
        <f>Raw_Data!B36</f>
        <v>Incoming</v>
      </c>
      <c r="C38" t="str">
        <f>Raw_Data!H36</f>
        <v>call-attempt</v>
      </c>
      <c r="D38">
        <f>Raw_Data!L36</f>
        <v>1</v>
      </c>
      <c r="E38">
        <f>Raw_Data!M36</f>
        <v>0</v>
      </c>
      <c r="F38">
        <f>Raw_Data!I36</f>
        <v>0</v>
      </c>
      <c r="G38">
        <f>Raw_Data!N36</f>
        <v>0</v>
      </c>
      <c r="H38">
        <f>Raw_Data!K36</f>
        <v>0</v>
      </c>
      <c r="I38">
        <f>Raw_Data!R36</f>
        <v>9</v>
      </c>
      <c r="J38">
        <f>Raw_Data!T36</f>
        <v>0</v>
      </c>
      <c r="K38" s="14">
        <f>Raw_Data!O36</f>
        <v>46237</v>
      </c>
    </row>
    <row r="39" spans="1:11" x14ac:dyDescent="0.3">
      <c r="A39" t="str">
        <f>Raw_Data!E37</f>
        <v>Varun Iyer</v>
      </c>
      <c r="B39" t="str">
        <f>Raw_Data!B37</f>
        <v>Incoming</v>
      </c>
      <c r="C39" t="str">
        <f>Raw_Data!H37</f>
        <v>completed</v>
      </c>
      <c r="D39">
        <f>Raw_Data!L37</f>
        <v>1</v>
      </c>
      <c r="E39">
        <f>Raw_Data!M37</f>
        <v>0</v>
      </c>
      <c r="F39">
        <f>Raw_Data!I37</f>
        <v>1</v>
      </c>
      <c r="G39">
        <f>Raw_Data!N37</f>
        <v>1</v>
      </c>
      <c r="H39">
        <f>Raw_Data!K37</f>
        <v>1</v>
      </c>
      <c r="I39">
        <f>Raw_Data!R37</f>
        <v>43</v>
      </c>
      <c r="J39">
        <f>Raw_Data!T37</f>
        <v>0.4</v>
      </c>
      <c r="K39" s="14">
        <f>Raw_Data!O37</f>
        <v>46237</v>
      </c>
    </row>
    <row r="40" spans="1:11" x14ac:dyDescent="0.3">
      <c r="A40" t="str">
        <f>Raw_Data!E38</f>
        <v>Divya Rao</v>
      </c>
      <c r="B40" t="str">
        <f>Raw_Data!B38</f>
        <v>Incoming</v>
      </c>
      <c r="C40" t="str">
        <f>Raw_Data!H38</f>
        <v>missed-call</v>
      </c>
      <c r="D40">
        <f>Raw_Data!L38</f>
        <v>1</v>
      </c>
      <c r="E40">
        <f>Raw_Data!M38</f>
        <v>0</v>
      </c>
      <c r="F40">
        <f>Raw_Data!I38</f>
        <v>0</v>
      </c>
      <c r="G40">
        <f>Raw_Data!N38</f>
        <v>0</v>
      </c>
      <c r="H40">
        <f>Raw_Data!K38</f>
        <v>0</v>
      </c>
      <c r="I40">
        <f>Raw_Data!R38</f>
        <v>56</v>
      </c>
      <c r="J40">
        <f>Raw_Data!T38</f>
        <v>0</v>
      </c>
      <c r="K40" s="14">
        <f>Raw_Data!O38</f>
        <v>46236</v>
      </c>
    </row>
    <row r="41" spans="1:11" x14ac:dyDescent="0.3">
      <c r="A41" t="str">
        <f>Raw_Data!E39</f>
        <v>Rahul Verma</v>
      </c>
      <c r="B41" t="str">
        <f>Raw_Data!B39</f>
        <v>Incoming</v>
      </c>
      <c r="C41" t="str">
        <f>Raw_Data!H39</f>
        <v>call-attempt</v>
      </c>
      <c r="D41">
        <f>Raw_Data!L39</f>
        <v>1</v>
      </c>
      <c r="E41">
        <f>Raw_Data!M39</f>
        <v>0</v>
      </c>
      <c r="F41">
        <f>Raw_Data!I39</f>
        <v>0</v>
      </c>
      <c r="G41">
        <f>Raw_Data!N39</f>
        <v>0</v>
      </c>
      <c r="H41">
        <f>Raw_Data!K39</f>
        <v>0</v>
      </c>
      <c r="I41">
        <f>Raw_Data!R39</f>
        <v>22</v>
      </c>
      <c r="J41">
        <f>Raw_Data!T39</f>
        <v>0</v>
      </c>
      <c r="K41" s="14">
        <f>Raw_Data!O39</f>
        <v>46237</v>
      </c>
    </row>
    <row r="42" spans="1:11" x14ac:dyDescent="0.3">
      <c r="A42" t="str">
        <f>Raw_Data!E40</f>
        <v>Riya Mehta</v>
      </c>
      <c r="B42" t="str">
        <f>Raw_Data!B40</f>
        <v>Incoming</v>
      </c>
      <c r="C42" t="str">
        <f>Raw_Data!H40</f>
        <v>completed</v>
      </c>
      <c r="D42">
        <f>Raw_Data!L40</f>
        <v>1</v>
      </c>
      <c r="E42">
        <f>Raw_Data!M40</f>
        <v>0</v>
      </c>
      <c r="F42">
        <f>Raw_Data!I40</f>
        <v>1</v>
      </c>
      <c r="G42">
        <f>Raw_Data!N40</f>
        <v>1</v>
      </c>
      <c r="H42">
        <f>Raw_Data!K40</f>
        <v>1</v>
      </c>
      <c r="I42">
        <f>Raw_Data!R40</f>
        <v>82</v>
      </c>
      <c r="J42">
        <f>Raw_Data!T40</f>
        <v>0.4</v>
      </c>
      <c r="K42" s="14">
        <f>Raw_Data!O40</f>
        <v>46237</v>
      </c>
    </row>
    <row r="43" spans="1:11" x14ac:dyDescent="0.3">
      <c r="A43" t="str">
        <f>Raw_Data!E41</f>
        <v>Anjali Menon</v>
      </c>
      <c r="B43" t="str">
        <f>Raw_Data!B41</f>
        <v>Incoming</v>
      </c>
      <c r="C43" t="str">
        <f>Raw_Data!H41</f>
        <v>completed</v>
      </c>
      <c r="D43">
        <f>Raw_Data!L41</f>
        <v>1</v>
      </c>
      <c r="E43">
        <f>Raw_Data!M41</f>
        <v>0</v>
      </c>
      <c r="F43">
        <f>Raw_Data!I41</f>
        <v>1</v>
      </c>
      <c r="G43">
        <f>Raw_Data!N41</f>
        <v>1</v>
      </c>
      <c r="H43">
        <f>Raw_Data!K41</f>
        <v>1</v>
      </c>
      <c r="I43">
        <f>Raw_Data!R41</f>
        <v>57</v>
      </c>
      <c r="J43">
        <f>Raw_Data!T41</f>
        <v>0.4</v>
      </c>
      <c r="K43" s="14">
        <f>Raw_Data!O41</f>
        <v>46237</v>
      </c>
    </row>
    <row r="44" spans="1:11" x14ac:dyDescent="0.3">
      <c r="A44" t="str">
        <f>Raw_Data!E42</f>
        <v>Sneha Reddy</v>
      </c>
      <c r="B44" t="str">
        <f>Raw_Data!B42</f>
        <v>Incoming</v>
      </c>
      <c r="C44" t="str">
        <f>Raw_Data!H42</f>
        <v>completed</v>
      </c>
      <c r="D44">
        <f>Raw_Data!L42</f>
        <v>1</v>
      </c>
      <c r="E44">
        <f>Raw_Data!M42</f>
        <v>0</v>
      </c>
      <c r="F44">
        <f>Raw_Data!I42</f>
        <v>1</v>
      </c>
      <c r="G44">
        <f>Raw_Data!N42</f>
        <v>1</v>
      </c>
      <c r="H44">
        <f>Raw_Data!K42</f>
        <v>1</v>
      </c>
      <c r="I44">
        <f>Raw_Data!R42</f>
        <v>43</v>
      </c>
      <c r="J44">
        <f>Raw_Data!T42</f>
        <v>0.4</v>
      </c>
      <c r="K44" s="14">
        <f>Raw_Data!O42</f>
        <v>46237</v>
      </c>
    </row>
    <row r="45" spans="1:11" x14ac:dyDescent="0.3">
      <c r="A45" t="str">
        <f>Raw_Data!E43</f>
        <v>Varun Iyer</v>
      </c>
      <c r="B45" t="str">
        <f>Raw_Data!B43</f>
        <v>Incoming</v>
      </c>
      <c r="C45" t="str">
        <f>Raw_Data!H43</f>
        <v>completed</v>
      </c>
      <c r="D45">
        <f>Raw_Data!L43</f>
        <v>1</v>
      </c>
      <c r="E45">
        <f>Raw_Data!M43</f>
        <v>0</v>
      </c>
      <c r="F45">
        <f>Raw_Data!I43</f>
        <v>1</v>
      </c>
      <c r="G45">
        <f>Raw_Data!N43</f>
        <v>1</v>
      </c>
      <c r="H45">
        <f>Raw_Data!K43</f>
        <v>1</v>
      </c>
      <c r="I45">
        <f>Raw_Data!R43</f>
        <v>386</v>
      </c>
      <c r="J45">
        <f>Raw_Data!T43</f>
        <v>2.4</v>
      </c>
      <c r="K45" s="14">
        <f>Raw_Data!O43</f>
        <v>46237</v>
      </c>
    </row>
    <row r="46" spans="1:11" x14ac:dyDescent="0.3">
      <c r="A46" t="str">
        <f>Raw_Data!E44</f>
        <v>Shreya Iyer</v>
      </c>
      <c r="B46" t="str">
        <f>Raw_Data!B44</f>
        <v>Incoming</v>
      </c>
      <c r="C46" t="str">
        <f>Raw_Data!H44</f>
        <v>missed-call</v>
      </c>
      <c r="D46">
        <f>Raw_Data!L44</f>
        <v>1</v>
      </c>
      <c r="E46">
        <f>Raw_Data!M44</f>
        <v>0</v>
      </c>
      <c r="F46">
        <f>Raw_Data!I44</f>
        <v>0</v>
      </c>
      <c r="G46">
        <f>Raw_Data!N44</f>
        <v>0</v>
      </c>
      <c r="H46">
        <f>Raw_Data!K44</f>
        <v>0</v>
      </c>
      <c r="I46">
        <f>Raw_Data!R44</f>
        <v>39</v>
      </c>
      <c r="J46">
        <f>Raw_Data!T44</f>
        <v>0</v>
      </c>
      <c r="K46" s="14">
        <f>Raw_Data!O44</f>
        <v>46237</v>
      </c>
    </row>
    <row r="47" spans="1:11" x14ac:dyDescent="0.3">
      <c r="A47" t="str">
        <f>Raw_Data!E45</f>
        <v>Priya Nair</v>
      </c>
      <c r="B47" t="str">
        <f>Raw_Data!B45</f>
        <v>Incoming</v>
      </c>
      <c r="C47" t="str">
        <f>Raw_Data!H45</f>
        <v>call-attempt</v>
      </c>
      <c r="D47">
        <f>Raw_Data!L45</f>
        <v>1</v>
      </c>
      <c r="E47">
        <f>Raw_Data!M45</f>
        <v>0</v>
      </c>
      <c r="F47">
        <f>Raw_Data!I45</f>
        <v>0</v>
      </c>
      <c r="G47">
        <f>Raw_Data!N45</f>
        <v>0</v>
      </c>
      <c r="H47">
        <f>Raw_Data!K45</f>
        <v>0</v>
      </c>
      <c r="I47">
        <f>Raw_Data!R45</f>
        <v>4</v>
      </c>
      <c r="J47">
        <f>Raw_Data!T45</f>
        <v>0</v>
      </c>
      <c r="K47" s="14">
        <f>Raw_Data!O45</f>
        <v>46237</v>
      </c>
    </row>
    <row r="48" spans="1:11" x14ac:dyDescent="0.3">
      <c r="A48" t="str">
        <f>Raw_Data!E46</f>
        <v>Amit Kulkarni</v>
      </c>
      <c r="B48" t="str">
        <f>Raw_Data!B46</f>
        <v>Incoming</v>
      </c>
      <c r="C48" t="str">
        <f>Raw_Data!H46</f>
        <v>completed</v>
      </c>
      <c r="D48">
        <f>Raw_Data!L46</f>
        <v>1</v>
      </c>
      <c r="E48">
        <f>Raw_Data!M46</f>
        <v>0</v>
      </c>
      <c r="F48">
        <f>Raw_Data!I46</f>
        <v>1</v>
      </c>
      <c r="G48">
        <f>Raw_Data!N46</f>
        <v>1</v>
      </c>
      <c r="H48">
        <f>Raw_Data!K46</f>
        <v>1</v>
      </c>
      <c r="I48">
        <f>Raw_Data!R46</f>
        <v>46</v>
      </c>
      <c r="J48">
        <f>Raw_Data!T46</f>
        <v>0.4</v>
      </c>
      <c r="K48" s="14">
        <f>Raw_Data!O46</f>
        <v>46237</v>
      </c>
    </row>
    <row r="49" spans="1:11" x14ac:dyDescent="0.3">
      <c r="A49" t="str">
        <f>Raw_Data!E47</f>
        <v>Rohit Das</v>
      </c>
      <c r="B49" t="str">
        <f>Raw_Data!B47</f>
        <v>Incoming</v>
      </c>
      <c r="C49" t="str">
        <f>Raw_Data!H47</f>
        <v>completed</v>
      </c>
      <c r="D49">
        <f>Raw_Data!L47</f>
        <v>1</v>
      </c>
      <c r="E49">
        <f>Raw_Data!M47</f>
        <v>0</v>
      </c>
      <c r="F49">
        <f>Raw_Data!I47</f>
        <v>1</v>
      </c>
      <c r="G49">
        <f>Raw_Data!N47</f>
        <v>1</v>
      </c>
      <c r="H49">
        <f>Raw_Data!K47</f>
        <v>1</v>
      </c>
      <c r="I49">
        <f>Raw_Data!R47</f>
        <v>69</v>
      </c>
      <c r="J49">
        <f>Raw_Data!T47</f>
        <v>0.4</v>
      </c>
      <c r="K49" s="14">
        <f>Raw_Data!O47</f>
        <v>46237</v>
      </c>
    </row>
    <row r="50" spans="1:11" x14ac:dyDescent="0.3">
      <c r="A50" t="str">
        <f>Raw_Data!E48</f>
        <v>Aditi Shah</v>
      </c>
      <c r="B50" t="str">
        <f>Raw_Data!B48</f>
        <v>Incoming</v>
      </c>
      <c r="C50" t="str">
        <f>Raw_Data!H48</f>
        <v>completed</v>
      </c>
      <c r="D50">
        <f>Raw_Data!L48</f>
        <v>1</v>
      </c>
      <c r="E50">
        <f>Raw_Data!M48</f>
        <v>0</v>
      </c>
      <c r="F50">
        <f>Raw_Data!I48</f>
        <v>1</v>
      </c>
      <c r="G50">
        <f>Raw_Data!N48</f>
        <v>1</v>
      </c>
      <c r="H50">
        <f>Raw_Data!K48</f>
        <v>1</v>
      </c>
      <c r="I50">
        <f>Raw_Data!R48</f>
        <v>93</v>
      </c>
      <c r="J50">
        <f>Raw_Data!T48</f>
        <v>0.4</v>
      </c>
      <c r="K50" s="14">
        <f>Raw_Data!O48</f>
        <v>46237</v>
      </c>
    </row>
    <row r="51" spans="1:11" x14ac:dyDescent="0.3">
      <c r="A51" t="str">
        <f>Raw_Data!E49</f>
        <v>Nikhil Kapoor</v>
      </c>
      <c r="B51" t="str">
        <f>Raw_Data!B49</f>
        <v>Incoming</v>
      </c>
      <c r="C51" t="str">
        <f>Raw_Data!H49</f>
        <v>completed</v>
      </c>
      <c r="D51">
        <f>Raw_Data!L49</f>
        <v>1</v>
      </c>
      <c r="E51">
        <f>Raw_Data!M49</f>
        <v>0</v>
      </c>
      <c r="F51">
        <f>Raw_Data!I49</f>
        <v>1</v>
      </c>
      <c r="G51">
        <f>Raw_Data!N49</f>
        <v>1</v>
      </c>
      <c r="H51">
        <f>Raw_Data!K49</f>
        <v>1</v>
      </c>
      <c r="I51">
        <f>Raw_Data!R49</f>
        <v>488</v>
      </c>
      <c r="J51">
        <f>Raw_Data!T49</f>
        <v>3.2</v>
      </c>
      <c r="K51" s="14">
        <f>Raw_Data!O49</f>
        <v>46237</v>
      </c>
    </row>
    <row r="52" spans="1:11" x14ac:dyDescent="0.3">
      <c r="A52" t="str">
        <f>Raw_Data!E50</f>
        <v>Akash Singh</v>
      </c>
      <c r="B52" t="str">
        <f>Raw_Data!B50</f>
        <v>Incoming</v>
      </c>
      <c r="C52" t="str">
        <f>Raw_Data!H50</f>
        <v>completed</v>
      </c>
      <c r="D52">
        <f>Raw_Data!L50</f>
        <v>1</v>
      </c>
      <c r="E52">
        <f>Raw_Data!M50</f>
        <v>0</v>
      </c>
      <c r="F52">
        <f>Raw_Data!I50</f>
        <v>1</v>
      </c>
      <c r="G52">
        <f>Raw_Data!N50</f>
        <v>1</v>
      </c>
      <c r="H52">
        <f>Raw_Data!K50</f>
        <v>1</v>
      </c>
      <c r="I52">
        <f>Raw_Data!R50</f>
        <v>672</v>
      </c>
      <c r="J52">
        <f>Raw_Data!T50</f>
        <v>4.4000000000000004</v>
      </c>
      <c r="K52" s="14">
        <f>Raw_Data!O50</f>
        <v>46236</v>
      </c>
    </row>
    <row r="53" spans="1:11" x14ac:dyDescent="0.3">
      <c r="A53" t="str">
        <f>Raw_Data!E51</f>
        <v>Aditi Shah</v>
      </c>
      <c r="B53" t="str">
        <f>Raw_Data!B51</f>
        <v>Incoming</v>
      </c>
      <c r="C53" t="str">
        <f>Raw_Data!H51</f>
        <v>completed</v>
      </c>
      <c r="D53">
        <f>Raw_Data!L51</f>
        <v>1</v>
      </c>
      <c r="E53">
        <f>Raw_Data!M51</f>
        <v>0</v>
      </c>
      <c r="F53">
        <f>Raw_Data!I51</f>
        <v>1</v>
      </c>
      <c r="G53">
        <f>Raw_Data!N51</f>
        <v>1</v>
      </c>
      <c r="H53">
        <f>Raw_Data!K51</f>
        <v>1</v>
      </c>
      <c r="I53">
        <f>Raw_Data!R51</f>
        <v>56</v>
      </c>
      <c r="J53">
        <f>Raw_Data!T51</f>
        <v>0.4</v>
      </c>
      <c r="K53" s="14">
        <f>Raw_Data!O51</f>
        <v>46237</v>
      </c>
    </row>
    <row r="54" spans="1:11" x14ac:dyDescent="0.3">
      <c r="A54" t="str">
        <f>Raw_Data!E52</f>
        <v>Sakshi Joshi</v>
      </c>
      <c r="B54" t="str">
        <f>Raw_Data!B52</f>
        <v>Incoming</v>
      </c>
      <c r="C54" t="str">
        <f>Raw_Data!H52</f>
        <v>completed</v>
      </c>
      <c r="D54">
        <f>Raw_Data!L52</f>
        <v>1</v>
      </c>
      <c r="E54">
        <f>Raw_Data!M52</f>
        <v>0</v>
      </c>
      <c r="F54">
        <f>Raw_Data!I52</f>
        <v>1</v>
      </c>
      <c r="G54">
        <f>Raw_Data!N52</f>
        <v>1</v>
      </c>
      <c r="H54">
        <f>Raw_Data!K52</f>
        <v>1</v>
      </c>
      <c r="I54">
        <f>Raw_Data!R52</f>
        <v>47</v>
      </c>
      <c r="J54">
        <f>Raw_Data!T52</f>
        <v>0.4</v>
      </c>
      <c r="K54" s="14">
        <f>Raw_Data!O52</f>
        <v>46237</v>
      </c>
    </row>
    <row r="55" spans="1:11" x14ac:dyDescent="0.3">
      <c r="A55" t="str">
        <f>Raw_Data!E53</f>
        <v>Amit Kulkarni</v>
      </c>
      <c r="B55" t="str">
        <f>Raw_Data!B53</f>
        <v>Incoming</v>
      </c>
      <c r="C55" t="str">
        <f>Raw_Data!H53</f>
        <v>completed</v>
      </c>
      <c r="D55">
        <f>Raw_Data!L53</f>
        <v>1</v>
      </c>
      <c r="E55">
        <f>Raw_Data!M53</f>
        <v>0</v>
      </c>
      <c r="F55">
        <f>Raw_Data!I53</f>
        <v>1</v>
      </c>
      <c r="G55">
        <f>Raw_Data!N53</f>
        <v>1</v>
      </c>
      <c r="H55">
        <f>Raw_Data!K53</f>
        <v>1</v>
      </c>
      <c r="I55">
        <f>Raw_Data!R53</f>
        <v>46</v>
      </c>
      <c r="J55">
        <f>Raw_Data!T53</f>
        <v>0.4</v>
      </c>
      <c r="K55" s="14">
        <f>Raw_Data!O53</f>
        <v>46237</v>
      </c>
    </row>
    <row r="56" spans="1:11" x14ac:dyDescent="0.3">
      <c r="A56" t="str">
        <f>Raw_Data!E54</f>
        <v>Akash Singh</v>
      </c>
      <c r="B56" t="str">
        <f>Raw_Data!B54</f>
        <v>Incoming</v>
      </c>
      <c r="C56" t="str">
        <f>Raw_Data!H54</f>
        <v>completed</v>
      </c>
      <c r="D56">
        <f>Raw_Data!L54</f>
        <v>1</v>
      </c>
      <c r="E56">
        <f>Raw_Data!M54</f>
        <v>0</v>
      </c>
      <c r="F56">
        <f>Raw_Data!I54</f>
        <v>1</v>
      </c>
      <c r="G56">
        <f>Raw_Data!N54</f>
        <v>1</v>
      </c>
      <c r="H56">
        <f>Raw_Data!K54</f>
        <v>1</v>
      </c>
      <c r="I56">
        <f>Raw_Data!R54</f>
        <v>517</v>
      </c>
      <c r="J56">
        <f>Raw_Data!T54</f>
        <v>3.6</v>
      </c>
      <c r="K56" s="14">
        <f>Raw_Data!O54</f>
        <v>46237</v>
      </c>
    </row>
    <row r="57" spans="1:11" x14ac:dyDescent="0.3">
      <c r="A57" t="str">
        <f>Raw_Data!E55</f>
        <v>Sneha Reddy</v>
      </c>
      <c r="B57" t="str">
        <f>Raw_Data!B55</f>
        <v>Incoming</v>
      </c>
      <c r="C57" t="str">
        <f>Raw_Data!H55</f>
        <v>missed-call</v>
      </c>
      <c r="D57">
        <f>Raw_Data!L55</f>
        <v>1</v>
      </c>
      <c r="E57">
        <f>Raw_Data!M55</f>
        <v>0</v>
      </c>
      <c r="F57">
        <f>Raw_Data!I55</f>
        <v>0</v>
      </c>
      <c r="G57">
        <f>Raw_Data!N55</f>
        <v>0</v>
      </c>
      <c r="H57">
        <f>Raw_Data!K55</f>
        <v>0</v>
      </c>
      <c r="I57">
        <f>Raw_Data!R55</f>
        <v>29</v>
      </c>
      <c r="J57">
        <f>Raw_Data!T55</f>
        <v>0</v>
      </c>
      <c r="K57" s="14">
        <f>Raw_Data!O55</f>
        <v>46237</v>
      </c>
    </row>
    <row r="58" spans="1:11" x14ac:dyDescent="0.3">
      <c r="A58" t="str">
        <f>Raw_Data!E56</f>
        <v>Tanvi Reddy</v>
      </c>
      <c r="B58" t="str">
        <f>Raw_Data!B56</f>
        <v>Incoming</v>
      </c>
      <c r="C58" t="str">
        <f>Raw_Data!H56</f>
        <v>completed</v>
      </c>
      <c r="D58">
        <f>Raw_Data!L56</f>
        <v>1</v>
      </c>
      <c r="E58">
        <f>Raw_Data!M56</f>
        <v>0</v>
      </c>
      <c r="F58">
        <f>Raw_Data!I56</f>
        <v>1</v>
      </c>
      <c r="G58">
        <f>Raw_Data!N56</f>
        <v>1</v>
      </c>
      <c r="H58">
        <f>Raw_Data!K56</f>
        <v>1</v>
      </c>
      <c r="I58">
        <f>Raw_Data!R56</f>
        <v>548</v>
      </c>
      <c r="J58">
        <f>Raw_Data!T56</f>
        <v>3.6</v>
      </c>
      <c r="K58" s="14">
        <f>Raw_Data!O56</f>
        <v>46237</v>
      </c>
    </row>
    <row r="59" spans="1:11" x14ac:dyDescent="0.3">
      <c r="A59" t="str">
        <f>Raw_Data!E57</f>
        <v>Anjali Menon</v>
      </c>
      <c r="B59" t="str">
        <f>Raw_Data!B57</f>
        <v>Incoming</v>
      </c>
      <c r="C59" t="str">
        <f>Raw_Data!H57</f>
        <v>completed</v>
      </c>
      <c r="D59">
        <f>Raw_Data!L57</f>
        <v>1</v>
      </c>
      <c r="E59">
        <f>Raw_Data!M57</f>
        <v>0</v>
      </c>
      <c r="F59">
        <f>Raw_Data!I57</f>
        <v>1</v>
      </c>
      <c r="G59">
        <f>Raw_Data!N57</f>
        <v>1</v>
      </c>
      <c r="H59">
        <f>Raw_Data!K57</f>
        <v>1</v>
      </c>
      <c r="I59">
        <f>Raw_Data!R57</f>
        <v>57</v>
      </c>
      <c r="J59">
        <f>Raw_Data!T57</f>
        <v>0.4</v>
      </c>
      <c r="K59" s="14">
        <f>Raw_Data!O57</f>
        <v>46237</v>
      </c>
    </row>
    <row r="60" spans="1:11" x14ac:dyDescent="0.3">
      <c r="A60" t="str">
        <f>Raw_Data!E58</f>
        <v>Manish Kumar</v>
      </c>
      <c r="B60" t="str">
        <f>Raw_Data!B58</f>
        <v>Incoming</v>
      </c>
      <c r="C60" t="str">
        <f>Raw_Data!H58</f>
        <v>completed</v>
      </c>
      <c r="D60">
        <f>Raw_Data!L58</f>
        <v>1</v>
      </c>
      <c r="E60">
        <f>Raw_Data!M58</f>
        <v>0</v>
      </c>
      <c r="F60">
        <f>Raw_Data!I58</f>
        <v>1</v>
      </c>
      <c r="G60">
        <f>Raw_Data!N58</f>
        <v>1</v>
      </c>
      <c r="H60">
        <f>Raw_Data!K58</f>
        <v>1</v>
      </c>
      <c r="I60">
        <f>Raw_Data!R58</f>
        <v>318</v>
      </c>
      <c r="J60">
        <f>Raw_Data!T58</f>
        <v>2</v>
      </c>
      <c r="K60" s="14">
        <f>Raw_Data!O58</f>
        <v>46236</v>
      </c>
    </row>
    <row r="61" spans="1:11" x14ac:dyDescent="0.3">
      <c r="A61" t="str">
        <f>Raw_Data!E59</f>
        <v>Manish Kumar</v>
      </c>
      <c r="B61" t="str">
        <f>Raw_Data!B59</f>
        <v>Incoming</v>
      </c>
      <c r="C61" t="str">
        <f>Raw_Data!H59</f>
        <v>completed</v>
      </c>
      <c r="D61">
        <f>Raw_Data!L59</f>
        <v>1</v>
      </c>
      <c r="E61">
        <f>Raw_Data!M59</f>
        <v>0</v>
      </c>
      <c r="F61">
        <f>Raw_Data!I59</f>
        <v>1</v>
      </c>
      <c r="G61">
        <f>Raw_Data!N59</f>
        <v>1</v>
      </c>
      <c r="H61">
        <f>Raw_Data!K59</f>
        <v>1</v>
      </c>
      <c r="I61">
        <f>Raw_Data!R59</f>
        <v>79</v>
      </c>
      <c r="J61">
        <f>Raw_Data!T59</f>
        <v>0.4</v>
      </c>
      <c r="K61" s="14">
        <f>Raw_Data!O59</f>
        <v>46237</v>
      </c>
    </row>
    <row r="62" spans="1:11" x14ac:dyDescent="0.3">
      <c r="A62" t="str">
        <f>Raw_Data!E60</f>
        <v>Rahul Verma</v>
      </c>
      <c r="B62" t="str">
        <f>Raw_Data!B60</f>
        <v>Incoming</v>
      </c>
      <c r="C62" t="str">
        <f>Raw_Data!H60</f>
        <v>call-attempt</v>
      </c>
      <c r="D62">
        <f>Raw_Data!L60</f>
        <v>1</v>
      </c>
      <c r="E62">
        <f>Raw_Data!M60</f>
        <v>0</v>
      </c>
      <c r="F62">
        <f>Raw_Data!I60</f>
        <v>0</v>
      </c>
      <c r="G62">
        <f>Raw_Data!N60</f>
        <v>0</v>
      </c>
      <c r="H62">
        <f>Raw_Data!K60</f>
        <v>0</v>
      </c>
      <c r="I62">
        <f>Raw_Data!R60</f>
        <v>15</v>
      </c>
      <c r="J62">
        <f>Raw_Data!T60</f>
        <v>0</v>
      </c>
      <c r="K62" s="14">
        <f>Raw_Data!O60</f>
        <v>46237</v>
      </c>
    </row>
    <row r="63" spans="1:11" x14ac:dyDescent="0.3">
      <c r="A63" t="str">
        <f>Raw_Data!E61</f>
        <v>Arjun Nair</v>
      </c>
      <c r="B63" t="str">
        <f>Raw_Data!B61</f>
        <v>Incoming</v>
      </c>
      <c r="C63" t="str">
        <f>Raw_Data!H61</f>
        <v>missed-call</v>
      </c>
      <c r="D63">
        <f>Raw_Data!L61</f>
        <v>1</v>
      </c>
      <c r="E63">
        <f>Raw_Data!M61</f>
        <v>0</v>
      </c>
      <c r="F63">
        <f>Raw_Data!I61</f>
        <v>0</v>
      </c>
      <c r="G63">
        <f>Raw_Data!N61</f>
        <v>0</v>
      </c>
      <c r="H63">
        <f>Raw_Data!K61</f>
        <v>0</v>
      </c>
      <c r="I63">
        <f>Raw_Data!R61</f>
        <v>29</v>
      </c>
      <c r="J63">
        <f>Raw_Data!T61</f>
        <v>0</v>
      </c>
      <c r="K63" s="14">
        <f>Raw_Data!O61</f>
        <v>46237</v>
      </c>
    </row>
    <row r="64" spans="1:11" x14ac:dyDescent="0.3">
      <c r="A64" t="str">
        <f>Raw_Data!E62</f>
        <v>Rohan Mehta</v>
      </c>
      <c r="B64" t="str">
        <f>Raw_Data!B62</f>
        <v>Incoming</v>
      </c>
      <c r="C64" t="str">
        <f>Raw_Data!H62</f>
        <v>completed</v>
      </c>
      <c r="D64">
        <f>Raw_Data!L62</f>
        <v>1</v>
      </c>
      <c r="E64">
        <f>Raw_Data!M62</f>
        <v>0</v>
      </c>
      <c r="F64">
        <f>Raw_Data!I62</f>
        <v>1</v>
      </c>
      <c r="G64">
        <f>Raw_Data!N62</f>
        <v>1</v>
      </c>
      <c r="H64">
        <f>Raw_Data!K62</f>
        <v>1</v>
      </c>
      <c r="I64">
        <f>Raw_Data!R62</f>
        <v>80</v>
      </c>
      <c r="J64">
        <f>Raw_Data!T62</f>
        <v>0.4</v>
      </c>
      <c r="K64" s="14">
        <f>Raw_Data!O62</f>
        <v>46237</v>
      </c>
    </row>
    <row r="65" spans="1:11" x14ac:dyDescent="0.3">
      <c r="A65" t="str">
        <f>Raw_Data!E63</f>
        <v>Sakshi Joshi</v>
      </c>
      <c r="B65" t="str">
        <f>Raw_Data!B63</f>
        <v>Incoming</v>
      </c>
      <c r="C65" t="str">
        <f>Raw_Data!H63</f>
        <v>call-attempt</v>
      </c>
      <c r="D65">
        <f>Raw_Data!L63</f>
        <v>1</v>
      </c>
      <c r="E65">
        <f>Raw_Data!M63</f>
        <v>0</v>
      </c>
      <c r="F65">
        <f>Raw_Data!I63</f>
        <v>0</v>
      </c>
      <c r="G65">
        <f>Raw_Data!N63</f>
        <v>0</v>
      </c>
      <c r="H65">
        <f>Raw_Data!K63</f>
        <v>0</v>
      </c>
      <c r="I65">
        <f>Raw_Data!R63</f>
        <v>17</v>
      </c>
      <c r="J65">
        <f>Raw_Data!T63</f>
        <v>0</v>
      </c>
      <c r="K65" s="14">
        <f>Raw_Data!O63</f>
        <v>46237</v>
      </c>
    </row>
    <row r="66" spans="1:11" x14ac:dyDescent="0.3">
      <c r="A66" t="str">
        <f>Raw_Data!E64</f>
        <v>Riya Mehta</v>
      </c>
      <c r="B66" t="str">
        <f>Raw_Data!B64</f>
        <v>Incoming</v>
      </c>
      <c r="C66" t="str">
        <f>Raw_Data!H64</f>
        <v>call-attempt</v>
      </c>
      <c r="D66">
        <f>Raw_Data!L64</f>
        <v>1</v>
      </c>
      <c r="E66">
        <f>Raw_Data!M64</f>
        <v>0</v>
      </c>
      <c r="F66">
        <f>Raw_Data!I64</f>
        <v>0</v>
      </c>
      <c r="G66">
        <f>Raw_Data!N64</f>
        <v>0</v>
      </c>
      <c r="H66">
        <f>Raw_Data!K64</f>
        <v>0</v>
      </c>
      <c r="I66">
        <f>Raw_Data!R64</f>
        <v>7</v>
      </c>
      <c r="J66">
        <f>Raw_Data!T64</f>
        <v>0</v>
      </c>
      <c r="K66" s="14">
        <f>Raw_Data!O64</f>
        <v>46237</v>
      </c>
    </row>
    <row r="67" spans="1:11" x14ac:dyDescent="0.3">
      <c r="A67" t="str">
        <f>Raw_Data!E65</f>
        <v>Ishita Kapoor</v>
      </c>
      <c r="B67" t="str">
        <f>Raw_Data!B65</f>
        <v>Incoming</v>
      </c>
      <c r="C67" t="str">
        <f>Raw_Data!H65</f>
        <v>missed-call</v>
      </c>
      <c r="D67">
        <f>Raw_Data!L65</f>
        <v>1</v>
      </c>
      <c r="E67">
        <f>Raw_Data!M65</f>
        <v>0</v>
      </c>
      <c r="F67">
        <f>Raw_Data!I65</f>
        <v>0</v>
      </c>
      <c r="G67">
        <f>Raw_Data!N65</f>
        <v>0</v>
      </c>
      <c r="H67">
        <f>Raw_Data!K65</f>
        <v>0</v>
      </c>
      <c r="I67">
        <f>Raw_Data!R65</f>
        <v>79</v>
      </c>
      <c r="J67">
        <f>Raw_Data!T65</f>
        <v>0</v>
      </c>
      <c r="K67" s="14">
        <f>Raw_Data!O65</f>
        <v>46237</v>
      </c>
    </row>
    <row r="68" spans="1:11" x14ac:dyDescent="0.3">
      <c r="A68" t="str">
        <f>Raw_Data!E66</f>
        <v>Rohit Das</v>
      </c>
      <c r="B68" t="str">
        <f>Raw_Data!B66</f>
        <v>Incoming</v>
      </c>
      <c r="C68" t="str">
        <f>Raw_Data!H66</f>
        <v>missed-call</v>
      </c>
      <c r="D68">
        <f>Raw_Data!L66</f>
        <v>1</v>
      </c>
      <c r="E68">
        <f>Raw_Data!M66</f>
        <v>0</v>
      </c>
      <c r="F68">
        <f>Raw_Data!I66</f>
        <v>0</v>
      </c>
      <c r="G68">
        <f>Raw_Data!N66</f>
        <v>0</v>
      </c>
      <c r="H68">
        <f>Raw_Data!K66</f>
        <v>0</v>
      </c>
      <c r="I68">
        <f>Raw_Data!R66</f>
        <v>47</v>
      </c>
      <c r="J68">
        <f>Raw_Data!T66</f>
        <v>0</v>
      </c>
      <c r="K68" s="14">
        <f>Raw_Data!O66</f>
        <v>46237</v>
      </c>
    </row>
    <row r="69" spans="1:11" x14ac:dyDescent="0.3">
      <c r="A69" t="str">
        <f>Raw_Data!E67</f>
        <v>Kriti Singh</v>
      </c>
      <c r="B69" t="str">
        <f>Raw_Data!B67</f>
        <v>Incoming</v>
      </c>
      <c r="C69" t="str">
        <f>Raw_Data!H67</f>
        <v>missed-call</v>
      </c>
      <c r="D69">
        <f>Raw_Data!L67</f>
        <v>1</v>
      </c>
      <c r="E69">
        <f>Raw_Data!M67</f>
        <v>0</v>
      </c>
      <c r="F69">
        <f>Raw_Data!I67</f>
        <v>0</v>
      </c>
      <c r="G69">
        <f>Raw_Data!N67</f>
        <v>0</v>
      </c>
      <c r="H69">
        <f>Raw_Data!K67</f>
        <v>0</v>
      </c>
      <c r="I69">
        <f>Raw_Data!R67</f>
        <v>28</v>
      </c>
      <c r="J69">
        <f>Raw_Data!T67</f>
        <v>0</v>
      </c>
      <c r="K69" s="14">
        <f>Raw_Data!O67</f>
        <v>46238</v>
      </c>
    </row>
    <row r="70" spans="1:11" x14ac:dyDescent="0.3">
      <c r="A70" t="str">
        <f>Raw_Data!E68</f>
        <v>Neha Gupta</v>
      </c>
      <c r="B70" t="str">
        <f>Raw_Data!B68</f>
        <v>Incoming</v>
      </c>
      <c r="C70" t="str">
        <f>Raw_Data!H68</f>
        <v>call-attempt</v>
      </c>
      <c r="D70">
        <f>Raw_Data!L68</f>
        <v>1</v>
      </c>
      <c r="E70">
        <f>Raw_Data!M68</f>
        <v>0</v>
      </c>
      <c r="F70">
        <f>Raw_Data!I68</f>
        <v>0</v>
      </c>
      <c r="G70">
        <f>Raw_Data!N68</f>
        <v>0</v>
      </c>
      <c r="H70">
        <f>Raw_Data!K68</f>
        <v>0</v>
      </c>
      <c r="I70">
        <f>Raw_Data!R68</f>
        <v>2</v>
      </c>
      <c r="J70">
        <f>Raw_Data!T68</f>
        <v>0</v>
      </c>
      <c r="K70" s="14">
        <f>Raw_Data!O68</f>
        <v>46238</v>
      </c>
    </row>
    <row r="71" spans="1:11" x14ac:dyDescent="0.3">
      <c r="A71" t="str">
        <f>Raw_Data!E69</f>
        <v>Aditya Rao</v>
      </c>
      <c r="B71" t="str">
        <f>Raw_Data!B69</f>
        <v>Incoming</v>
      </c>
      <c r="C71" t="str">
        <f>Raw_Data!H69</f>
        <v>completed</v>
      </c>
      <c r="D71">
        <f>Raw_Data!L69</f>
        <v>1</v>
      </c>
      <c r="E71">
        <f>Raw_Data!M69</f>
        <v>0</v>
      </c>
      <c r="F71">
        <f>Raw_Data!I69</f>
        <v>1</v>
      </c>
      <c r="G71">
        <f>Raw_Data!N69</f>
        <v>1</v>
      </c>
      <c r="H71">
        <f>Raw_Data!K69</f>
        <v>1</v>
      </c>
      <c r="I71">
        <f>Raw_Data!R69</f>
        <v>422</v>
      </c>
      <c r="J71">
        <f>Raw_Data!T69</f>
        <v>2.8</v>
      </c>
      <c r="K71" s="14">
        <f>Raw_Data!O69</f>
        <v>46236</v>
      </c>
    </row>
    <row r="72" spans="1:11" x14ac:dyDescent="0.3">
      <c r="A72" t="str">
        <f>Raw_Data!E70</f>
        <v>Amit Kulkarni</v>
      </c>
      <c r="B72" t="str">
        <f>Raw_Data!B70</f>
        <v>Incoming</v>
      </c>
      <c r="C72" t="str">
        <f>Raw_Data!H70</f>
        <v>completed</v>
      </c>
      <c r="D72">
        <f>Raw_Data!L70</f>
        <v>1</v>
      </c>
      <c r="E72">
        <f>Raw_Data!M70</f>
        <v>0</v>
      </c>
      <c r="F72">
        <f>Raw_Data!I70</f>
        <v>1</v>
      </c>
      <c r="G72">
        <f>Raw_Data!N70</f>
        <v>1</v>
      </c>
      <c r="H72">
        <f>Raw_Data!K70</f>
        <v>1</v>
      </c>
      <c r="I72">
        <f>Raw_Data!R70</f>
        <v>62</v>
      </c>
      <c r="J72">
        <f>Raw_Data!T70</f>
        <v>0.4</v>
      </c>
      <c r="K72" s="14">
        <f>Raw_Data!O70</f>
        <v>46238</v>
      </c>
    </row>
    <row r="73" spans="1:11" x14ac:dyDescent="0.3">
      <c r="A73" t="str">
        <f>Raw_Data!E71</f>
        <v>Sanjay Nair</v>
      </c>
      <c r="B73" t="str">
        <f>Raw_Data!B71</f>
        <v>Incoming</v>
      </c>
      <c r="C73" t="str">
        <f>Raw_Data!H71</f>
        <v>completed</v>
      </c>
      <c r="D73">
        <f>Raw_Data!L71</f>
        <v>1</v>
      </c>
      <c r="E73">
        <f>Raw_Data!M71</f>
        <v>0</v>
      </c>
      <c r="F73">
        <f>Raw_Data!I71</f>
        <v>1</v>
      </c>
      <c r="G73">
        <f>Raw_Data!N71</f>
        <v>1</v>
      </c>
      <c r="H73">
        <f>Raw_Data!K71</f>
        <v>1</v>
      </c>
      <c r="I73">
        <f>Raw_Data!R71</f>
        <v>465</v>
      </c>
      <c r="J73">
        <f>Raw_Data!T71</f>
        <v>3.2</v>
      </c>
      <c r="K73" s="14">
        <f>Raw_Data!O71</f>
        <v>46238</v>
      </c>
    </row>
    <row r="74" spans="1:11" x14ac:dyDescent="0.3">
      <c r="A74" t="str">
        <f>Raw_Data!E72</f>
        <v>Sneha Reddy</v>
      </c>
      <c r="B74" t="str">
        <f>Raw_Data!B72</f>
        <v>Incoming</v>
      </c>
      <c r="C74" t="str">
        <f>Raw_Data!H72</f>
        <v>completed</v>
      </c>
      <c r="D74">
        <f>Raw_Data!L72</f>
        <v>1</v>
      </c>
      <c r="E74">
        <f>Raw_Data!M72</f>
        <v>0</v>
      </c>
      <c r="F74">
        <f>Raw_Data!I72</f>
        <v>1</v>
      </c>
      <c r="G74">
        <f>Raw_Data!N72</f>
        <v>1</v>
      </c>
      <c r="H74">
        <f>Raw_Data!K72</f>
        <v>1</v>
      </c>
      <c r="I74">
        <f>Raw_Data!R72</f>
        <v>50</v>
      </c>
      <c r="J74">
        <f>Raw_Data!T72</f>
        <v>0.4</v>
      </c>
      <c r="K74" s="14">
        <f>Raw_Data!O72</f>
        <v>46238</v>
      </c>
    </row>
    <row r="75" spans="1:11" x14ac:dyDescent="0.3">
      <c r="A75" t="str">
        <f>Raw_Data!E73</f>
        <v>Meera Joshi</v>
      </c>
      <c r="B75" t="str">
        <f>Raw_Data!B73</f>
        <v>Incoming</v>
      </c>
      <c r="C75" t="str">
        <f>Raw_Data!H73</f>
        <v>completed</v>
      </c>
      <c r="D75">
        <f>Raw_Data!L73</f>
        <v>1</v>
      </c>
      <c r="E75">
        <f>Raw_Data!M73</f>
        <v>0</v>
      </c>
      <c r="F75">
        <f>Raw_Data!I73</f>
        <v>1</v>
      </c>
      <c r="G75">
        <f>Raw_Data!N73</f>
        <v>1</v>
      </c>
      <c r="H75">
        <f>Raw_Data!K73</f>
        <v>1</v>
      </c>
      <c r="I75">
        <f>Raw_Data!R73</f>
        <v>48</v>
      </c>
      <c r="J75">
        <f>Raw_Data!T73</f>
        <v>0.4</v>
      </c>
      <c r="K75" s="14">
        <f>Raw_Data!O73</f>
        <v>46238</v>
      </c>
    </row>
    <row r="76" spans="1:11" x14ac:dyDescent="0.3">
      <c r="A76" t="str">
        <f>Raw_Data!E74</f>
        <v>Rohit Das</v>
      </c>
      <c r="B76" t="str">
        <f>Raw_Data!B74</f>
        <v>Incoming</v>
      </c>
      <c r="C76" t="str">
        <f>Raw_Data!H74</f>
        <v>completed</v>
      </c>
      <c r="D76">
        <f>Raw_Data!L74</f>
        <v>1</v>
      </c>
      <c r="E76">
        <f>Raw_Data!M74</f>
        <v>0</v>
      </c>
      <c r="F76">
        <f>Raw_Data!I74</f>
        <v>1</v>
      </c>
      <c r="G76">
        <f>Raw_Data!N74</f>
        <v>1</v>
      </c>
      <c r="H76">
        <f>Raw_Data!K74</f>
        <v>1</v>
      </c>
      <c r="I76">
        <f>Raw_Data!R74</f>
        <v>926</v>
      </c>
      <c r="J76">
        <f>Raw_Data!T74</f>
        <v>6</v>
      </c>
      <c r="K76" s="14">
        <f>Raw_Data!O74</f>
        <v>46238</v>
      </c>
    </row>
    <row r="77" spans="1:11" x14ac:dyDescent="0.3">
      <c r="A77" t="str">
        <f>Raw_Data!E75</f>
        <v>Divya Rao</v>
      </c>
      <c r="B77" t="str">
        <f>Raw_Data!B75</f>
        <v>Incoming</v>
      </c>
      <c r="C77" t="str">
        <f>Raw_Data!H75</f>
        <v>missed-call</v>
      </c>
      <c r="D77">
        <f>Raw_Data!L75</f>
        <v>1</v>
      </c>
      <c r="E77">
        <f>Raw_Data!M75</f>
        <v>0</v>
      </c>
      <c r="F77">
        <f>Raw_Data!I75</f>
        <v>0</v>
      </c>
      <c r="G77">
        <f>Raw_Data!N75</f>
        <v>0</v>
      </c>
      <c r="H77">
        <f>Raw_Data!K75</f>
        <v>0</v>
      </c>
      <c r="I77">
        <f>Raw_Data!R75</f>
        <v>96</v>
      </c>
      <c r="J77">
        <f>Raw_Data!T75</f>
        <v>0</v>
      </c>
      <c r="K77" s="14">
        <f>Raw_Data!O75</f>
        <v>46238</v>
      </c>
    </row>
    <row r="78" spans="1:11" x14ac:dyDescent="0.3">
      <c r="A78" t="str">
        <f>Raw_Data!E76</f>
        <v>Kriti Singh</v>
      </c>
      <c r="B78" t="str">
        <f>Raw_Data!B76</f>
        <v>Incoming</v>
      </c>
      <c r="C78" t="str">
        <f>Raw_Data!H76</f>
        <v>completed</v>
      </c>
      <c r="D78">
        <f>Raw_Data!L76</f>
        <v>1</v>
      </c>
      <c r="E78">
        <f>Raw_Data!M76</f>
        <v>0</v>
      </c>
      <c r="F78">
        <f>Raw_Data!I76</f>
        <v>1</v>
      </c>
      <c r="G78">
        <f>Raw_Data!N76</f>
        <v>1</v>
      </c>
      <c r="H78">
        <f>Raw_Data!K76</f>
        <v>1</v>
      </c>
      <c r="I78">
        <f>Raw_Data!R76</f>
        <v>490</v>
      </c>
      <c r="J78">
        <f>Raw_Data!T76</f>
        <v>3.2</v>
      </c>
      <c r="K78" s="14">
        <f>Raw_Data!O76</f>
        <v>46238</v>
      </c>
    </row>
    <row r="79" spans="1:11" x14ac:dyDescent="0.3">
      <c r="A79" t="str">
        <f>Raw_Data!E77</f>
        <v>Pooja Shah</v>
      </c>
      <c r="B79" t="str">
        <f>Raw_Data!B77</f>
        <v>Incoming</v>
      </c>
      <c r="C79" t="str">
        <f>Raw_Data!H77</f>
        <v>missed-call</v>
      </c>
      <c r="D79">
        <f>Raw_Data!L77</f>
        <v>1</v>
      </c>
      <c r="E79">
        <f>Raw_Data!M77</f>
        <v>0</v>
      </c>
      <c r="F79">
        <f>Raw_Data!I77</f>
        <v>0</v>
      </c>
      <c r="G79">
        <f>Raw_Data!N77</f>
        <v>0</v>
      </c>
      <c r="H79">
        <f>Raw_Data!K77</f>
        <v>0</v>
      </c>
      <c r="I79">
        <f>Raw_Data!R77</f>
        <v>53</v>
      </c>
      <c r="J79">
        <f>Raw_Data!T77</f>
        <v>0</v>
      </c>
      <c r="K79" s="14">
        <f>Raw_Data!O77</f>
        <v>46238</v>
      </c>
    </row>
    <row r="80" spans="1:11" x14ac:dyDescent="0.3">
      <c r="A80" t="str">
        <f>Raw_Data!E78</f>
        <v>Manish Kumar</v>
      </c>
      <c r="B80" t="str">
        <f>Raw_Data!B78</f>
        <v>Incoming</v>
      </c>
      <c r="C80" t="str">
        <f>Raw_Data!H78</f>
        <v>missed-call</v>
      </c>
      <c r="D80">
        <f>Raw_Data!L78</f>
        <v>1</v>
      </c>
      <c r="E80">
        <f>Raw_Data!M78</f>
        <v>0</v>
      </c>
      <c r="F80">
        <f>Raw_Data!I78</f>
        <v>0</v>
      </c>
      <c r="G80">
        <f>Raw_Data!N78</f>
        <v>0</v>
      </c>
      <c r="H80">
        <f>Raw_Data!K78</f>
        <v>0</v>
      </c>
      <c r="I80">
        <f>Raw_Data!R78</f>
        <v>86</v>
      </c>
      <c r="J80">
        <f>Raw_Data!T78</f>
        <v>0</v>
      </c>
      <c r="K80" s="14">
        <f>Raw_Data!O78</f>
        <v>46238</v>
      </c>
    </row>
    <row r="81" spans="1:11" x14ac:dyDescent="0.3">
      <c r="A81" t="str">
        <f>Raw_Data!E79</f>
        <v>Amit Kulkarni</v>
      </c>
      <c r="B81" t="str">
        <f>Raw_Data!B79</f>
        <v>Incoming</v>
      </c>
      <c r="C81" t="str">
        <f>Raw_Data!H79</f>
        <v>completed</v>
      </c>
      <c r="D81">
        <f>Raw_Data!L79</f>
        <v>1</v>
      </c>
      <c r="E81">
        <f>Raw_Data!M79</f>
        <v>0</v>
      </c>
      <c r="F81">
        <f>Raw_Data!I79</f>
        <v>1</v>
      </c>
      <c r="G81">
        <f>Raw_Data!N79</f>
        <v>1</v>
      </c>
      <c r="H81">
        <f>Raw_Data!K79</f>
        <v>1</v>
      </c>
      <c r="I81">
        <f>Raw_Data!R79</f>
        <v>62</v>
      </c>
      <c r="J81">
        <f>Raw_Data!T79</f>
        <v>0.4</v>
      </c>
      <c r="K81" s="14">
        <f>Raw_Data!O79</f>
        <v>46238</v>
      </c>
    </row>
    <row r="82" spans="1:11" x14ac:dyDescent="0.3">
      <c r="A82" t="str">
        <f>Raw_Data!E80</f>
        <v>Kavya Menon</v>
      </c>
      <c r="B82" t="str">
        <f>Raw_Data!B80</f>
        <v>Incoming</v>
      </c>
      <c r="C82" t="str">
        <f>Raw_Data!H80</f>
        <v>completed</v>
      </c>
      <c r="D82">
        <f>Raw_Data!L80</f>
        <v>1</v>
      </c>
      <c r="E82">
        <f>Raw_Data!M80</f>
        <v>0</v>
      </c>
      <c r="F82">
        <f>Raw_Data!I80</f>
        <v>1</v>
      </c>
      <c r="G82">
        <f>Raw_Data!N80</f>
        <v>1</v>
      </c>
      <c r="H82">
        <f>Raw_Data!K80</f>
        <v>1</v>
      </c>
      <c r="I82">
        <f>Raw_Data!R80</f>
        <v>526</v>
      </c>
      <c r="J82">
        <f>Raw_Data!T80</f>
        <v>3.2</v>
      </c>
      <c r="K82" s="14">
        <f>Raw_Data!O80</f>
        <v>46238</v>
      </c>
    </row>
    <row r="83" spans="1:11" x14ac:dyDescent="0.3">
      <c r="A83" t="str">
        <f>Raw_Data!E81</f>
        <v>Sanjay Nair</v>
      </c>
      <c r="B83" t="str">
        <f>Raw_Data!B81</f>
        <v>Incoming</v>
      </c>
      <c r="C83" t="str">
        <f>Raw_Data!H81</f>
        <v>completed</v>
      </c>
      <c r="D83">
        <f>Raw_Data!L81</f>
        <v>1</v>
      </c>
      <c r="E83">
        <f>Raw_Data!M81</f>
        <v>0</v>
      </c>
      <c r="F83">
        <f>Raw_Data!I81</f>
        <v>1</v>
      </c>
      <c r="G83">
        <f>Raw_Data!N81</f>
        <v>1</v>
      </c>
      <c r="H83">
        <f>Raw_Data!K81</f>
        <v>1</v>
      </c>
      <c r="I83">
        <f>Raw_Data!R81</f>
        <v>799</v>
      </c>
      <c r="J83">
        <f>Raw_Data!T81</f>
        <v>5.2</v>
      </c>
      <c r="K83" s="14">
        <f>Raw_Data!O81</f>
        <v>46238</v>
      </c>
    </row>
    <row r="84" spans="1:11" x14ac:dyDescent="0.3">
      <c r="A84" t="str">
        <f>Raw_Data!E82</f>
        <v>Vivek Gupta</v>
      </c>
      <c r="B84" t="str">
        <f>Raw_Data!B82</f>
        <v>Incoming</v>
      </c>
      <c r="C84" t="str">
        <f>Raw_Data!H82</f>
        <v>completed</v>
      </c>
      <c r="D84">
        <f>Raw_Data!L82</f>
        <v>1</v>
      </c>
      <c r="E84">
        <f>Raw_Data!M82</f>
        <v>0</v>
      </c>
      <c r="F84">
        <f>Raw_Data!I82</f>
        <v>1</v>
      </c>
      <c r="G84">
        <f>Raw_Data!N82</f>
        <v>1</v>
      </c>
      <c r="H84">
        <f>Raw_Data!K82</f>
        <v>1</v>
      </c>
      <c r="I84">
        <f>Raw_Data!R82</f>
        <v>429</v>
      </c>
      <c r="J84">
        <f>Raw_Data!T82</f>
        <v>2.8</v>
      </c>
      <c r="K84" s="14">
        <f>Raw_Data!O82</f>
        <v>46238</v>
      </c>
    </row>
    <row r="85" spans="1:11" x14ac:dyDescent="0.3">
      <c r="A85" t="str">
        <f>Raw_Data!E83</f>
        <v>Harsh Patel</v>
      </c>
      <c r="B85" t="str">
        <f>Raw_Data!B83</f>
        <v>Incoming</v>
      </c>
      <c r="C85" t="str">
        <f>Raw_Data!H83</f>
        <v>completed</v>
      </c>
      <c r="D85">
        <f>Raw_Data!L83</f>
        <v>1</v>
      </c>
      <c r="E85">
        <f>Raw_Data!M83</f>
        <v>0</v>
      </c>
      <c r="F85">
        <f>Raw_Data!I83</f>
        <v>1</v>
      </c>
      <c r="G85">
        <f>Raw_Data!N83</f>
        <v>1</v>
      </c>
      <c r="H85">
        <f>Raw_Data!K83</f>
        <v>1</v>
      </c>
      <c r="I85">
        <f>Raw_Data!R83</f>
        <v>1292</v>
      </c>
      <c r="J85">
        <f>Raw_Data!T83</f>
        <v>4.4000000000000004</v>
      </c>
      <c r="K85" s="14">
        <f>Raw_Data!O83</f>
        <v>46238</v>
      </c>
    </row>
    <row r="86" spans="1:11" x14ac:dyDescent="0.3">
      <c r="A86" t="str">
        <f>Raw_Data!E84</f>
        <v>Divya Rao</v>
      </c>
      <c r="B86" t="str">
        <f>Raw_Data!B84</f>
        <v>Incoming</v>
      </c>
      <c r="C86" t="str">
        <f>Raw_Data!H84</f>
        <v>completed</v>
      </c>
      <c r="D86">
        <f>Raw_Data!L84</f>
        <v>1</v>
      </c>
      <c r="E86">
        <f>Raw_Data!M84</f>
        <v>0</v>
      </c>
      <c r="F86">
        <f>Raw_Data!I84</f>
        <v>1</v>
      </c>
      <c r="G86">
        <f>Raw_Data!N84</f>
        <v>1</v>
      </c>
      <c r="H86">
        <f>Raw_Data!K84</f>
        <v>1</v>
      </c>
      <c r="I86">
        <f>Raw_Data!R84</f>
        <v>1526</v>
      </c>
      <c r="J86">
        <f>Raw_Data!T84</f>
        <v>10</v>
      </c>
      <c r="K86" s="14">
        <f>Raw_Data!O84</f>
        <v>46236</v>
      </c>
    </row>
    <row r="87" spans="1:11" x14ac:dyDescent="0.3">
      <c r="A87" t="str">
        <f>Raw_Data!E85</f>
        <v>Manish Kumar</v>
      </c>
      <c r="B87" t="str">
        <f>Raw_Data!B85</f>
        <v>Incoming</v>
      </c>
      <c r="C87" t="str">
        <f>Raw_Data!H85</f>
        <v>completed</v>
      </c>
      <c r="D87">
        <f>Raw_Data!L85</f>
        <v>1</v>
      </c>
      <c r="E87">
        <f>Raw_Data!M85</f>
        <v>0</v>
      </c>
      <c r="F87">
        <f>Raw_Data!I85</f>
        <v>1</v>
      </c>
      <c r="G87">
        <f>Raw_Data!N85</f>
        <v>1</v>
      </c>
      <c r="H87">
        <f>Raw_Data!K85</f>
        <v>1</v>
      </c>
      <c r="I87">
        <f>Raw_Data!R85</f>
        <v>340</v>
      </c>
      <c r="J87">
        <f>Raw_Data!T85</f>
        <v>2.4</v>
      </c>
      <c r="K87" s="14">
        <f>Raw_Data!O85</f>
        <v>46238</v>
      </c>
    </row>
    <row r="88" spans="1:11" x14ac:dyDescent="0.3">
      <c r="A88" t="str">
        <f>Raw_Data!E86</f>
        <v>Nikhil Kapoor</v>
      </c>
      <c r="B88" t="str">
        <f>Raw_Data!B86</f>
        <v>Incoming</v>
      </c>
      <c r="C88" t="str">
        <f>Raw_Data!H86</f>
        <v>completed</v>
      </c>
      <c r="D88">
        <f>Raw_Data!L86</f>
        <v>1</v>
      </c>
      <c r="E88">
        <f>Raw_Data!M86</f>
        <v>0</v>
      </c>
      <c r="F88">
        <f>Raw_Data!I86</f>
        <v>1</v>
      </c>
      <c r="G88">
        <f>Raw_Data!N86</f>
        <v>1</v>
      </c>
      <c r="H88">
        <f>Raw_Data!K86</f>
        <v>1</v>
      </c>
      <c r="I88">
        <f>Raw_Data!R86</f>
        <v>686</v>
      </c>
      <c r="J88">
        <f>Raw_Data!T86</f>
        <v>4.4000000000000004</v>
      </c>
      <c r="K88" s="14">
        <f>Raw_Data!O86</f>
        <v>46238</v>
      </c>
    </row>
    <row r="89" spans="1:11" x14ac:dyDescent="0.3">
      <c r="A89" t="str">
        <f>Raw_Data!E87</f>
        <v>Neha Gupta</v>
      </c>
      <c r="B89" t="str">
        <f>Raw_Data!B87</f>
        <v>Incoming</v>
      </c>
      <c r="C89" t="str">
        <f>Raw_Data!H87</f>
        <v>call-attempt</v>
      </c>
      <c r="D89">
        <f>Raw_Data!L87</f>
        <v>1</v>
      </c>
      <c r="E89">
        <f>Raw_Data!M87</f>
        <v>0</v>
      </c>
      <c r="F89">
        <f>Raw_Data!I87</f>
        <v>0</v>
      </c>
      <c r="G89">
        <f>Raw_Data!N87</f>
        <v>0</v>
      </c>
      <c r="H89">
        <f>Raw_Data!K87</f>
        <v>0</v>
      </c>
      <c r="I89">
        <f>Raw_Data!R87</f>
        <v>16</v>
      </c>
      <c r="J89">
        <f>Raw_Data!T87</f>
        <v>0</v>
      </c>
      <c r="K89" s="14">
        <f>Raw_Data!O87</f>
        <v>46238</v>
      </c>
    </row>
    <row r="90" spans="1:11" x14ac:dyDescent="0.3">
      <c r="A90" t="str">
        <f>Raw_Data!E88</f>
        <v>Pooja Shah</v>
      </c>
      <c r="B90" t="str">
        <f>Raw_Data!B88</f>
        <v>Incoming</v>
      </c>
      <c r="C90" t="str">
        <f>Raw_Data!H88</f>
        <v>completed</v>
      </c>
      <c r="D90">
        <f>Raw_Data!L88</f>
        <v>1</v>
      </c>
      <c r="E90">
        <f>Raw_Data!M88</f>
        <v>0</v>
      </c>
      <c r="F90">
        <f>Raw_Data!I88</f>
        <v>1</v>
      </c>
      <c r="G90">
        <f>Raw_Data!N88</f>
        <v>1</v>
      </c>
      <c r="H90">
        <f>Raw_Data!K88</f>
        <v>1</v>
      </c>
      <c r="I90">
        <f>Raw_Data!R88</f>
        <v>477</v>
      </c>
      <c r="J90">
        <f>Raw_Data!T88</f>
        <v>2.8</v>
      </c>
      <c r="K90" s="14">
        <f>Raw_Data!O88</f>
        <v>46238</v>
      </c>
    </row>
    <row r="91" spans="1:11" x14ac:dyDescent="0.3">
      <c r="A91" t="str">
        <f>Raw_Data!E89</f>
        <v>Rahul Verma</v>
      </c>
      <c r="B91" t="str">
        <f>Raw_Data!B89</f>
        <v>Incoming</v>
      </c>
      <c r="C91" t="str">
        <f>Raw_Data!H89</f>
        <v>completed</v>
      </c>
      <c r="D91">
        <f>Raw_Data!L89</f>
        <v>1</v>
      </c>
      <c r="E91">
        <f>Raw_Data!M89</f>
        <v>0</v>
      </c>
      <c r="F91">
        <f>Raw_Data!I89</f>
        <v>1</v>
      </c>
      <c r="G91">
        <f>Raw_Data!N89</f>
        <v>1</v>
      </c>
      <c r="H91">
        <f>Raw_Data!K89</f>
        <v>1</v>
      </c>
      <c r="I91">
        <f>Raw_Data!R89</f>
        <v>67</v>
      </c>
      <c r="J91">
        <f>Raw_Data!T89</f>
        <v>0.4</v>
      </c>
      <c r="K91" s="14">
        <f>Raw_Data!O89</f>
        <v>46238</v>
      </c>
    </row>
    <row r="92" spans="1:11" x14ac:dyDescent="0.3">
      <c r="A92" t="str">
        <f>Raw_Data!E90</f>
        <v>Simran Kaur</v>
      </c>
      <c r="B92" t="str">
        <f>Raw_Data!B90</f>
        <v>Incoming</v>
      </c>
      <c r="C92" t="str">
        <f>Raw_Data!H90</f>
        <v>completed</v>
      </c>
      <c r="D92">
        <f>Raw_Data!L90</f>
        <v>1</v>
      </c>
      <c r="E92">
        <f>Raw_Data!M90</f>
        <v>0</v>
      </c>
      <c r="F92">
        <f>Raw_Data!I90</f>
        <v>1</v>
      </c>
      <c r="G92">
        <f>Raw_Data!N90</f>
        <v>1</v>
      </c>
      <c r="H92">
        <f>Raw_Data!K90</f>
        <v>1</v>
      </c>
      <c r="I92">
        <f>Raw_Data!R90</f>
        <v>124</v>
      </c>
      <c r="J92">
        <f>Raw_Data!T90</f>
        <v>0.4</v>
      </c>
      <c r="K92" s="14">
        <f>Raw_Data!O90</f>
        <v>46238</v>
      </c>
    </row>
    <row r="93" spans="1:11" x14ac:dyDescent="0.3">
      <c r="A93" t="str">
        <f>Raw_Data!E91</f>
        <v>Rahul Verma</v>
      </c>
      <c r="B93" t="str">
        <f>Raw_Data!B91</f>
        <v>Incoming</v>
      </c>
      <c r="C93" t="str">
        <f>Raw_Data!H91</f>
        <v>completed</v>
      </c>
      <c r="D93">
        <f>Raw_Data!L91</f>
        <v>1</v>
      </c>
      <c r="E93">
        <f>Raw_Data!M91</f>
        <v>0</v>
      </c>
      <c r="F93">
        <f>Raw_Data!I91</f>
        <v>1</v>
      </c>
      <c r="G93">
        <f>Raw_Data!N91</f>
        <v>1</v>
      </c>
      <c r="H93">
        <f>Raw_Data!K91</f>
        <v>1</v>
      </c>
      <c r="I93">
        <f>Raw_Data!R91</f>
        <v>966</v>
      </c>
      <c r="J93">
        <f>Raw_Data!T91</f>
        <v>6</v>
      </c>
      <c r="K93" s="14">
        <f>Raw_Data!O91</f>
        <v>46238</v>
      </c>
    </row>
    <row r="94" spans="1:11" x14ac:dyDescent="0.3">
      <c r="A94" t="str">
        <f>Raw_Data!E92</f>
        <v>Shreya Iyer</v>
      </c>
      <c r="B94" t="str">
        <f>Raw_Data!B92</f>
        <v>Incoming</v>
      </c>
      <c r="C94" t="str">
        <f>Raw_Data!H92</f>
        <v>call-attempt</v>
      </c>
      <c r="D94">
        <f>Raw_Data!L92</f>
        <v>1</v>
      </c>
      <c r="E94">
        <f>Raw_Data!M92</f>
        <v>0</v>
      </c>
      <c r="F94">
        <f>Raw_Data!I92</f>
        <v>0</v>
      </c>
      <c r="G94">
        <f>Raw_Data!N92</f>
        <v>0</v>
      </c>
      <c r="H94">
        <f>Raw_Data!K92</f>
        <v>0</v>
      </c>
      <c r="I94">
        <f>Raw_Data!R92</f>
        <v>19</v>
      </c>
      <c r="J94">
        <f>Raw_Data!T92</f>
        <v>0</v>
      </c>
      <c r="K94" s="14">
        <f>Raw_Data!O92</f>
        <v>46236</v>
      </c>
    </row>
    <row r="95" spans="1:11" x14ac:dyDescent="0.3">
      <c r="A95" t="str">
        <f>Raw_Data!E93</f>
        <v>Manish Kumar</v>
      </c>
      <c r="B95" t="str">
        <f>Raw_Data!B93</f>
        <v>Incoming</v>
      </c>
      <c r="C95" t="str">
        <f>Raw_Data!H93</f>
        <v>completed</v>
      </c>
      <c r="D95">
        <f>Raw_Data!L93</f>
        <v>1</v>
      </c>
      <c r="E95">
        <f>Raw_Data!M93</f>
        <v>0</v>
      </c>
      <c r="F95">
        <f>Raw_Data!I93</f>
        <v>1</v>
      </c>
      <c r="G95">
        <f>Raw_Data!N93</f>
        <v>1</v>
      </c>
      <c r="H95">
        <f>Raw_Data!K93</f>
        <v>1</v>
      </c>
      <c r="I95">
        <f>Raw_Data!R93</f>
        <v>226</v>
      </c>
      <c r="J95">
        <f>Raw_Data!T93</f>
        <v>1.6</v>
      </c>
      <c r="K95" s="14">
        <f>Raw_Data!O93</f>
        <v>46238</v>
      </c>
    </row>
    <row r="96" spans="1:11" x14ac:dyDescent="0.3">
      <c r="A96" t="str">
        <f>Raw_Data!E94</f>
        <v>Akash Singh</v>
      </c>
      <c r="B96" t="str">
        <f>Raw_Data!B94</f>
        <v>Incoming</v>
      </c>
      <c r="C96" t="str">
        <f>Raw_Data!H94</f>
        <v>call-attempt</v>
      </c>
      <c r="D96">
        <f>Raw_Data!L94</f>
        <v>1</v>
      </c>
      <c r="E96">
        <f>Raw_Data!M94</f>
        <v>0</v>
      </c>
      <c r="F96">
        <f>Raw_Data!I94</f>
        <v>0</v>
      </c>
      <c r="G96">
        <f>Raw_Data!N94</f>
        <v>0</v>
      </c>
      <c r="H96">
        <f>Raw_Data!K94</f>
        <v>0</v>
      </c>
      <c r="I96">
        <f>Raw_Data!R94</f>
        <v>8</v>
      </c>
      <c r="J96">
        <f>Raw_Data!T94</f>
        <v>0</v>
      </c>
      <c r="K96" s="14">
        <f>Raw_Data!O94</f>
        <v>46238</v>
      </c>
    </row>
    <row r="97" spans="1:11" x14ac:dyDescent="0.3">
      <c r="A97" t="str">
        <f>Raw_Data!E95</f>
        <v>Vikram Patel</v>
      </c>
      <c r="B97" t="str">
        <f>Raw_Data!B95</f>
        <v>Incoming</v>
      </c>
      <c r="C97" t="str">
        <f>Raw_Data!H95</f>
        <v>call-attempt</v>
      </c>
      <c r="D97">
        <f>Raw_Data!L95</f>
        <v>1</v>
      </c>
      <c r="E97">
        <f>Raw_Data!M95</f>
        <v>0</v>
      </c>
      <c r="F97">
        <f>Raw_Data!I95</f>
        <v>0</v>
      </c>
      <c r="G97">
        <f>Raw_Data!N95</f>
        <v>0</v>
      </c>
      <c r="H97">
        <f>Raw_Data!K95</f>
        <v>0</v>
      </c>
      <c r="I97">
        <f>Raw_Data!R95</f>
        <v>24</v>
      </c>
      <c r="J97">
        <f>Raw_Data!T95</f>
        <v>0</v>
      </c>
      <c r="K97" s="14">
        <f>Raw_Data!O95</f>
        <v>46239</v>
      </c>
    </row>
    <row r="98" spans="1:11" x14ac:dyDescent="0.3">
      <c r="A98" t="str">
        <f>Raw_Data!E96</f>
        <v>Manish Kumar</v>
      </c>
      <c r="B98" t="str">
        <f>Raw_Data!B96</f>
        <v>Incoming</v>
      </c>
      <c r="C98" t="str">
        <f>Raw_Data!H96</f>
        <v>completed</v>
      </c>
      <c r="D98">
        <f>Raw_Data!L96</f>
        <v>1</v>
      </c>
      <c r="E98">
        <f>Raw_Data!M96</f>
        <v>0</v>
      </c>
      <c r="F98">
        <f>Raw_Data!I96</f>
        <v>1</v>
      </c>
      <c r="G98">
        <f>Raw_Data!N96</f>
        <v>1</v>
      </c>
      <c r="H98">
        <f>Raw_Data!K96</f>
        <v>1</v>
      </c>
      <c r="I98">
        <f>Raw_Data!R96</f>
        <v>477</v>
      </c>
      <c r="J98">
        <f>Raw_Data!T96</f>
        <v>3.2</v>
      </c>
      <c r="K98" s="14">
        <f>Raw_Data!O96</f>
        <v>46239</v>
      </c>
    </row>
    <row r="99" spans="1:11" x14ac:dyDescent="0.3">
      <c r="A99" t="str">
        <f>Raw_Data!E97</f>
        <v>Pallavi Rao</v>
      </c>
      <c r="B99" t="str">
        <f>Raw_Data!B97</f>
        <v>Incoming</v>
      </c>
      <c r="C99" t="str">
        <f>Raw_Data!H97</f>
        <v>call-attempt</v>
      </c>
      <c r="D99">
        <f>Raw_Data!L97</f>
        <v>1</v>
      </c>
      <c r="E99">
        <f>Raw_Data!M97</f>
        <v>0</v>
      </c>
      <c r="F99">
        <f>Raw_Data!I97</f>
        <v>0</v>
      </c>
      <c r="G99">
        <f>Raw_Data!N97</f>
        <v>0</v>
      </c>
      <c r="H99">
        <f>Raw_Data!K97</f>
        <v>0</v>
      </c>
      <c r="I99">
        <f>Raw_Data!R97</f>
        <v>8</v>
      </c>
      <c r="J99">
        <f>Raw_Data!T97</f>
        <v>0</v>
      </c>
      <c r="K99" s="14">
        <f>Raw_Data!O97</f>
        <v>46239</v>
      </c>
    </row>
    <row r="100" spans="1:11" x14ac:dyDescent="0.3">
      <c r="A100" t="str">
        <f>Raw_Data!E98</f>
        <v>Nisha Verma</v>
      </c>
      <c r="B100" t="str">
        <f>Raw_Data!B98</f>
        <v>Incoming</v>
      </c>
      <c r="C100" t="str">
        <f>Raw_Data!H98</f>
        <v>call-attempt</v>
      </c>
      <c r="D100">
        <f>Raw_Data!L98</f>
        <v>1</v>
      </c>
      <c r="E100">
        <f>Raw_Data!M98</f>
        <v>0</v>
      </c>
      <c r="F100">
        <f>Raw_Data!I98</f>
        <v>0</v>
      </c>
      <c r="G100">
        <f>Raw_Data!N98</f>
        <v>0</v>
      </c>
      <c r="H100">
        <f>Raw_Data!K98</f>
        <v>0</v>
      </c>
      <c r="I100">
        <f>Raw_Data!R98</f>
        <v>4</v>
      </c>
      <c r="J100">
        <f>Raw_Data!T98</f>
        <v>0</v>
      </c>
      <c r="K100" s="14">
        <f>Raw_Data!O98</f>
        <v>46239</v>
      </c>
    </row>
    <row r="101" spans="1:11" x14ac:dyDescent="0.3">
      <c r="A101" t="str">
        <f>Raw_Data!E99</f>
        <v>Harsh Patel</v>
      </c>
      <c r="B101" t="str">
        <f>Raw_Data!B99</f>
        <v>Incoming</v>
      </c>
      <c r="C101" t="str">
        <f>Raw_Data!H99</f>
        <v>call-attempt</v>
      </c>
      <c r="D101">
        <f>Raw_Data!L99</f>
        <v>1</v>
      </c>
      <c r="E101">
        <f>Raw_Data!M99</f>
        <v>0</v>
      </c>
      <c r="F101">
        <f>Raw_Data!I99</f>
        <v>0</v>
      </c>
      <c r="G101">
        <f>Raw_Data!N99</f>
        <v>0</v>
      </c>
      <c r="H101">
        <f>Raw_Data!K99</f>
        <v>0</v>
      </c>
      <c r="I101">
        <f>Raw_Data!R99</f>
        <v>11</v>
      </c>
      <c r="J101">
        <f>Raw_Data!T99</f>
        <v>0</v>
      </c>
      <c r="K101" s="14">
        <f>Raw_Data!O99</f>
        <v>46239</v>
      </c>
    </row>
    <row r="102" spans="1:11" x14ac:dyDescent="0.3">
      <c r="A102" t="str">
        <f>Raw_Data!E100</f>
        <v>Ishita Kapoor</v>
      </c>
      <c r="B102" t="str">
        <f>Raw_Data!B100</f>
        <v>Incoming</v>
      </c>
      <c r="C102" t="str">
        <f>Raw_Data!H100</f>
        <v>completed</v>
      </c>
      <c r="D102">
        <f>Raw_Data!L100</f>
        <v>1</v>
      </c>
      <c r="E102">
        <f>Raw_Data!M100</f>
        <v>0</v>
      </c>
      <c r="F102">
        <f>Raw_Data!I100</f>
        <v>1</v>
      </c>
      <c r="G102">
        <f>Raw_Data!N100</f>
        <v>1</v>
      </c>
      <c r="H102">
        <f>Raw_Data!K100</f>
        <v>1</v>
      </c>
      <c r="I102">
        <f>Raw_Data!R100</f>
        <v>83</v>
      </c>
      <c r="J102">
        <f>Raw_Data!T100</f>
        <v>0.4</v>
      </c>
      <c r="K102" s="14">
        <f>Raw_Data!O100</f>
        <v>46239</v>
      </c>
    </row>
    <row r="103" spans="1:11" x14ac:dyDescent="0.3">
      <c r="A103" t="str">
        <f>Raw_Data!E101</f>
        <v>Sneha Reddy</v>
      </c>
      <c r="B103" t="str">
        <f>Raw_Data!B101</f>
        <v>Incoming</v>
      </c>
      <c r="C103" t="str">
        <f>Raw_Data!H101</f>
        <v>call-attempt</v>
      </c>
      <c r="D103">
        <f>Raw_Data!L101</f>
        <v>1</v>
      </c>
      <c r="E103">
        <f>Raw_Data!M101</f>
        <v>0</v>
      </c>
      <c r="F103">
        <f>Raw_Data!I101</f>
        <v>0</v>
      </c>
      <c r="G103">
        <f>Raw_Data!N101</f>
        <v>0</v>
      </c>
      <c r="H103">
        <f>Raw_Data!K101</f>
        <v>0</v>
      </c>
      <c r="I103">
        <f>Raw_Data!R101</f>
        <v>4</v>
      </c>
      <c r="J103">
        <f>Raw_Data!T101</f>
        <v>0</v>
      </c>
      <c r="K103" s="14">
        <f>Raw_Data!O101</f>
        <v>46239</v>
      </c>
    </row>
    <row r="104" spans="1:11" x14ac:dyDescent="0.3">
      <c r="A104" t="str">
        <f>Raw_Data!E102</f>
        <v>Gaurav Mishra</v>
      </c>
      <c r="B104" t="str">
        <f>Raw_Data!B102</f>
        <v>Incoming</v>
      </c>
      <c r="C104" t="str">
        <f>Raw_Data!H102</f>
        <v>completed</v>
      </c>
      <c r="D104">
        <f>Raw_Data!L102</f>
        <v>1</v>
      </c>
      <c r="E104">
        <f>Raw_Data!M102</f>
        <v>0</v>
      </c>
      <c r="F104">
        <f>Raw_Data!I102</f>
        <v>1</v>
      </c>
      <c r="G104">
        <f>Raw_Data!N102</f>
        <v>1</v>
      </c>
      <c r="H104">
        <f>Raw_Data!K102</f>
        <v>1</v>
      </c>
      <c r="I104">
        <f>Raw_Data!R102</f>
        <v>670</v>
      </c>
      <c r="J104">
        <f>Raw_Data!T102</f>
        <v>4.4000000000000004</v>
      </c>
      <c r="K104" s="14">
        <f>Raw_Data!O102</f>
        <v>46239</v>
      </c>
    </row>
    <row r="105" spans="1:11" x14ac:dyDescent="0.3">
      <c r="A105" t="str">
        <f>Raw_Data!E103</f>
        <v>Abhishek Jain</v>
      </c>
      <c r="B105" t="str">
        <f>Raw_Data!B103</f>
        <v>Incoming</v>
      </c>
      <c r="C105" t="str">
        <f>Raw_Data!H103</f>
        <v>completed</v>
      </c>
      <c r="D105">
        <f>Raw_Data!L103</f>
        <v>1</v>
      </c>
      <c r="E105">
        <f>Raw_Data!M103</f>
        <v>0</v>
      </c>
      <c r="F105">
        <f>Raw_Data!I103</f>
        <v>1</v>
      </c>
      <c r="G105">
        <f>Raw_Data!N103</f>
        <v>1</v>
      </c>
      <c r="H105">
        <f>Raw_Data!K103</f>
        <v>1</v>
      </c>
      <c r="I105">
        <f>Raw_Data!R103</f>
        <v>173</v>
      </c>
      <c r="J105">
        <f>Raw_Data!T103</f>
        <v>1.2</v>
      </c>
      <c r="K105" s="14">
        <f>Raw_Data!O103</f>
        <v>46239</v>
      </c>
    </row>
    <row r="106" spans="1:11" x14ac:dyDescent="0.3">
      <c r="A106" t="str">
        <f>Raw_Data!E104</f>
        <v>Ananya Sharma</v>
      </c>
      <c r="B106" t="str">
        <f>Raw_Data!B104</f>
        <v>Incoming</v>
      </c>
      <c r="C106" t="str">
        <f>Raw_Data!H104</f>
        <v>call-attempt</v>
      </c>
      <c r="D106">
        <f>Raw_Data!L104</f>
        <v>1</v>
      </c>
      <c r="E106">
        <f>Raw_Data!M104</f>
        <v>0</v>
      </c>
      <c r="F106">
        <f>Raw_Data!I104</f>
        <v>0</v>
      </c>
      <c r="G106">
        <f>Raw_Data!N104</f>
        <v>0</v>
      </c>
      <c r="H106">
        <f>Raw_Data!K104</f>
        <v>0</v>
      </c>
      <c r="I106">
        <f>Raw_Data!R104</f>
        <v>9</v>
      </c>
      <c r="J106">
        <f>Raw_Data!T104</f>
        <v>0</v>
      </c>
      <c r="K106" s="14">
        <f>Raw_Data!O104</f>
        <v>46239</v>
      </c>
    </row>
    <row r="107" spans="1:11" x14ac:dyDescent="0.3">
      <c r="A107" t="str">
        <f>Raw_Data!E105</f>
        <v>Gaurav Mishra</v>
      </c>
      <c r="B107" t="str">
        <f>Raw_Data!B105</f>
        <v>Incoming</v>
      </c>
      <c r="C107" t="str">
        <f>Raw_Data!H105</f>
        <v>call-attempt</v>
      </c>
      <c r="D107">
        <f>Raw_Data!L105</f>
        <v>1</v>
      </c>
      <c r="E107">
        <f>Raw_Data!M105</f>
        <v>0</v>
      </c>
      <c r="F107">
        <f>Raw_Data!I105</f>
        <v>0</v>
      </c>
      <c r="G107">
        <f>Raw_Data!N105</f>
        <v>0</v>
      </c>
      <c r="H107">
        <f>Raw_Data!K105</f>
        <v>0</v>
      </c>
      <c r="I107">
        <f>Raw_Data!R105</f>
        <v>10</v>
      </c>
      <c r="J107">
        <f>Raw_Data!T105</f>
        <v>0</v>
      </c>
      <c r="K107" s="14">
        <f>Raw_Data!O105</f>
        <v>46239</v>
      </c>
    </row>
    <row r="108" spans="1:11" x14ac:dyDescent="0.3">
      <c r="A108" t="str">
        <f>Raw_Data!E106</f>
        <v>Nisha Verma</v>
      </c>
      <c r="B108" t="str">
        <f>Raw_Data!B106</f>
        <v>Incoming</v>
      </c>
      <c r="C108" t="str">
        <f>Raw_Data!H106</f>
        <v>call-attempt</v>
      </c>
      <c r="D108">
        <f>Raw_Data!L106</f>
        <v>1</v>
      </c>
      <c r="E108">
        <f>Raw_Data!M106</f>
        <v>0</v>
      </c>
      <c r="F108">
        <f>Raw_Data!I106</f>
        <v>0</v>
      </c>
      <c r="G108">
        <f>Raw_Data!N106</f>
        <v>0</v>
      </c>
      <c r="H108">
        <f>Raw_Data!K106</f>
        <v>0</v>
      </c>
      <c r="I108">
        <f>Raw_Data!R106</f>
        <v>2</v>
      </c>
      <c r="J108">
        <f>Raw_Data!T106</f>
        <v>0</v>
      </c>
      <c r="K108" s="14">
        <f>Raw_Data!O106</f>
        <v>46239</v>
      </c>
    </row>
    <row r="109" spans="1:11" x14ac:dyDescent="0.3">
      <c r="A109" t="str">
        <f>Raw_Data!E107</f>
        <v>Pallavi Rao</v>
      </c>
      <c r="B109" t="str">
        <f>Raw_Data!B107</f>
        <v>Incoming</v>
      </c>
      <c r="C109" t="str">
        <f>Raw_Data!H107</f>
        <v>call-attempt</v>
      </c>
      <c r="D109">
        <f>Raw_Data!L107</f>
        <v>1</v>
      </c>
      <c r="E109">
        <f>Raw_Data!M107</f>
        <v>0</v>
      </c>
      <c r="F109">
        <f>Raw_Data!I107</f>
        <v>0</v>
      </c>
      <c r="G109">
        <f>Raw_Data!N107</f>
        <v>0</v>
      </c>
      <c r="H109">
        <f>Raw_Data!K107</f>
        <v>0</v>
      </c>
      <c r="I109">
        <f>Raw_Data!R107</f>
        <v>3</v>
      </c>
      <c r="J109">
        <f>Raw_Data!T107</f>
        <v>0</v>
      </c>
      <c r="K109" s="14">
        <f>Raw_Data!O107</f>
        <v>46239</v>
      </c>
    </row>
    <row r="110" spans="1:11" x14ac:dyDescent="0.3">
      <c r="A110" t="str">
        <f>Raw_Data!E108</f>
        <v>Pallavi Rao</v>
      </c>
      <c r="B110" t="str">
        <f>Raw_Data!B108</f>
        <v>Incoming</v>
      </c>
      <c r="C110" t="str">
        <f>Raw_Data!H108</f>
        <v>call-attempt</v>
      </c>
      <c r="D110">
        <f>Raw_Data!L108</f>
        <v>1</v>
      </c>
      <c r="E110">
        <f>Raw_Data!M108</f>
        <v>0</v>
      </c>
      <c r="F110">
        <f>Raw_Data!I108</f>
        <v>0</v>
      </c>
      <c r="G110">
        <f>Raw_Data!N108</f>
        <v>0</v>
      </c>
      <c r="H110">
        <f>Raw_Data!K108</f>
        <v>0</v>
      </c>
      <c r="I110">
        <f>Raw_Data!R108</f>
        <v>10</v>
      </c>
      <c r="J110">
        <f>Raw_Data!T108</f>
        <v>0</v>
      </c>
      <c r="K110" s="14">
        <f>Raw_Data!O108</f>
        <v>46239</v>
      </c>
    </row>
    <row r="111" spans="1:11" x14ac:dyDescent="0.3">
      <c r="A111" t="str">
        <f>Raw_Data!E109</f>
        <v>Kriti Singh</v>
      </c>
      <c r="B111" t="str">
        <f>Raw_Data!B109</f>
        <v>Incoming</v>
      </c>
      <c r="C111" t="str">
        <f>Raw_Data!H109</f>
        <v>call-attempt</v>
      </c>
      <c r="D111">
        <f>Raw_Data!L109</f>
        <v>1</v>
      </c>
      <c r="E111">
        <f>Raw_Data!M109</f>
        <v>0</v>
      </c>
      <c r="F111">
        <f>Raw_Data!I109</f>
        <v>0</v>
      </c>
      <c r="G111">
        <f>Raw_Data!N109</f>
        <v>0</v>
      </c>
      <c r="H111">
        <f>Raw_Data!K109</f>
        <v>0</v>
      </c>
      <c r="I111">
        <f>Raw_Data!R109</f>
        <v>14</v>
      </c>
      <c r="J111">
        <f>Raw_Data!T109</f>
        <v>0</v>
      </c>
      <c r="K111" s="14">
        <f>Raw_Data!O109</f>
        <v>46239</v>
      </c>
    </row>
    <row r="112" spans="1:11" x14ac:dyDescent="0.3">
      <c r="A112" t="str">
        <f>Raw_Data!E110</f>
        <v>Vikram Patel</v>
      </c>
      <c r="B112" t="str">
        <f>Raw_Data!B110</f>
        <v>Incoming</v>
      </c>
      <c r="C112" t="str">
        <f>Raw_Data!H110</f>
        <v>completed</v>
      </c>
      <c r="D112">
        <f>Raw_Data!L110</f>
        <v>1</v>
      </c>
      <c r="E112">
        <f>Raw_Data!M110</f>
        <v>0</v>
      </c>
      <c r="F112">
        <f>Raw_Data!I110</f>
        <v>1</v>
      </c>
      <c r="G112">
        <f>Raw_Data!N110</f>
        <v>1</v>
      </c>
      <c r="H112">
        <f>Raw_Data!K110</f>
        <v>1</v>
      </c>
      <c r="I112">
        <f>Raw_Data!R110</f>
        <v>1193</v>
      </c>
      <c r="J112">
        <f>Raw_Data!T110</f>
        <v>8</v>
      </c>
      <c r="K112" s="14">
        <f>Raw_Data!O110</f>
        <v>46236</v>
      </c>
    </row>
    <row r="113" spans="1:11" x14ac:dyDescent="0.3">
      <c r="A113" t="str">
        <f>Raw_Data!E111</f>
        <v>Vikram Patel</v>
      </c>
      <c r="B113" t="str">
        <f>Raw_Data!B111</f>
        <v>Incoming</v>
      </c>
      <c r="C113" t="str">
        <f>Raw_Data!H111</f>
        <v>completed</v>
      </c>
      <c r="D113">
        <f>Raw_Data!L111</f>
        <v>1</v>
      </c>
      <c r="E113">
        <f>Raw_Data!M111</f>
        <v>0</v>
      </c>
      <c r="F113">
        <f>Raw_Data!I111</f>
        <v>1</v>
      </c>
      <c r="G113">
        <f>Raw_Data!N111</f>
        <v>1</v>
      </c>
      <c r="H113">
        <f>Raw_Data!K111</f>
        <v>1</v>
      </c>
      <c r="I113">
        <f>Raw_Data!R111</f>
        <v>85</v>
      </c>
      <c r="J113">
        <f>Raw_Data!T111</f>
        <v>0.4</v>
      </c>
      <c r="K113" s="14">
        <f>Raw_Data!O111</f>
        <v>46239</v>
      </c>
    </row>
    <row r="114" spans="1:11" x14ac:dyDescent="0.3">
      <c r="A114" t="str">
        <f>Raw_Data!E112</f>
        <v>Kavya Menon</v>
      </c>
      <c r="B114" t="str">
        <f>Raw_Data!B112</f>
        <v>Incoming</v>
      </c>
      <c r="C114" t="str">
        <f>Raw_Data!H112</f>
        <v>missed-call</v>
      </c>
      <c r="D114">
        <f>Raw_Data!L112</f>
        <v>1</v>
      </c>
      <c r="E114">
        <f>Raw_Data!M112</f>
        <v>0</v>
      </c>
      <c r="F114">
        <f>Raw_Data!I112</f>
        <v>0</v>
      </c>
      <c r="G114">
        <f>Raw_Data!N112</f>
        <v>0</v>
      </c>
      <c r="H114">
        <f>Raw_Data!K112</f>
        <v>0</v>
      </c>
      <c r="I114">
        <f>Raw_Data!R112</f>
        <v>38</v>
      </c>
      <c r="J114">
        <f>Raw_Data!T112</f>
        <v>0</v>
      </c>
      <c r="K114" s="14">
        <f>Raw_Data!O112</f>
        <v>46239</v>
      </c>
    </row>
    <row r="115" spans="1:11" x14ac:dyDescent="0.3">
      <c r="A115" t="str">
        <f>Raw_Data!E113</f>
        <v>Gaurav Mishra</v>
      </c>
      <c r="B115" t="str">
        <f>Raw_Data!B113</f>
        <v>Incoming</v>
      </c>
      <c r="C115" t="str">
        <f>Raw_Data!H113</f>
        <v>call-attempt</v>
      </c>
      <c r="D115">
        <f>Raw_Data!L113</f>
        <v>1</v>
      </c>
      <c r="E115">
        <f>Raw_Data!M113</f>
        <v>0</v>
      </c>
      <c r="F115">
        <f>Raw_Data!I113</f>
        <v>0</v>
      </c>
      <c r="G115">
        <f>Raw_Data!N113</f>
        <v>0</v>
      </c>
      <c r="H115">
        <f>Raw_Data!K113</f>
        <v>0</v>
      </c>
      <c r="I115">
        <f>Raw_Data!R113</f>
        <v>3</v>
      </c>
      <c r="J115">
        <f>Raw_Data!T113</f>
        <v>0</v>
      </c>
      <c r="K115" s="14">
        <f>Raw_Data!O113</f>
        <v>46239</v>
      </c>
    </row>
    <row r="116" spans="1:11" x14ac:dyDescent="0.3">
      <c r="A116" t="str">
        <f>Raw_Data!E114</f>
        <v>Meera Joshi</v>
      </c>
      <c r="B116" t="str">
        <f>Raw_Data!B114</f>
        <v>Incoming</v>
      </c>
      <c r="C116" t="str">
        <f>Raw_Data!H114</f>
        <v>call-attempt</v>
      </c>
      <c r="D116">
        <f>Raw_Data!L114</f>
        <v>1</v>
      </c>
      <c r="E116">
        <f>Raw_Data!M114</f>
        <v>0</v>
      </c>
      <c r="F116">
        <f>Raw_Data!I114</f>
        <v>0</v>
      </c>
      <c r="G116">
        <f>Raw_Data!N114</f>
        <v>0</v>
      </c>
      <c r="H116">
        <f>Raw_Data!K114</f>
        <v>0</v>
      </c>
      <c r="I116">
        <f>Raw_Data!R114</f>
        <v>4</v>
      </c>
      <c r="J116">
        <f>Raw_Data!T114</f>
        <v>0</v>
      </c>
      <c r="K116" s="14">
        <f>Raw_Data!O114</f>
        <v>46239</v>
      </c>
    </row>
    <row r="117" spans="1:11" x14ac:dyDescent="0.3">
      <c r="A117" t="str">
        <f>Raw_Data!E115</f>
        <v>Harsh Patel</v>
      </c>
      <c r="B117" t="str">
        <f>Raw_Data!B115</f>
        <v>Incoming</v>
      </c>
      <c r="C117" t="str">
        <f>Raw_Data!H115</f>
        <v>completed</v>
      </c>
      <c r="D117">
        <f>Raw_Data!L115</f>
        <v>1</v>
      </c>
      <c r="E117">
        <f>Raw_Data!M115</f>
        <v>0</v>
      </c>
      <c r="F117">
        <f>Raw_Data!I115</f>
        <v>1</v>
      </c>
      <c r="G117">
        <f>Raw_Data!N115</f>
        <v>1</v>
      </c>
      <c r="H117">
        <f>Raw_Data!K115</f>
        <v>1</v>
      </c>
      <c r="I117">
        <f>Raw_Data!R115</f>
        <v>563</v>
      </c>
      <c r="J117">
        <f>Raw_Data!T115</f>
        <v>3.6</v>
      </c>
      <c r="K117" s="14">
        <f>Raw_Data!O115</f>
        <v>46239</v>
      </c>
    </row>
    <row r="118" spans="1:11" x14ac:dyDescent="0.3">
      <c r="A118" t="str">
        <f>Raw_Data!E116</f>
        <v>Gaurav Mishra</v>
      </c>
      <c r="B118" t="str">
        <f>Raw_Data!B116</f>
        <v>Incoming</v>
      </c>
      <c r="C118" t="str">
        <f>Raw_Data!H116</f>
        <v>completed</v>
      </c>
      <c r="D118">
        <f>Raw_Data!L116</f>
        <v>1</v>
      </c>
      <c r="E118">
        <f>Raw_Data!M116</f>
        <v>0</v>
      </c>
      <c r="F118">
        <f>Raw_Data!I116</f>
        <v>1</v>
      </c>
      <c r="G118">
        <f>Raw_Data!N116</f>
        <v>1</v>
      </c>
      <c r="H118">
        <f>Raw_Data!K116</f>
        <v>1</v>
      </c>
      <c r="I118">
        <f>Raw_Data!R116</f>
        <v>433</v>
      </c>
      <c r="J118">
        <f>Raw_Data!T116</f>
        <v>2.4</v>
      </c>
      <c r="K118" s="14">
        <f>Raw_Data!O116</f>
        <v>46239</v>
      </c>
    </row>
    <row r="119" spans="1:11" x14ac:dyDescent="0.3">
      <c r="A119" t="str">
        <f>Raw_Data!E117</f>
        <v>Aditya Rao</v>
      </c>
      <c r="B119" t="str">
        <f>Raw_Data!B117</f>
        <v>Incoming</v>
      </c>
      <c r="C119" t="str">
        <f>Raw_Data!H117</f>
        <v>completed</v>
      </c>
      <c r="D119">
        <f>Raw_Data!L117</f>
        <v>1</v>
      </c>
      <c r="E119">
        <f>Raw_Data!M117</f>
        <v>0</v>
      </c>
      <c r="F119">
        <f>Raw_Data!I117</f>
        <v>1</v>
      </c>
      <c r="G119">
        <f>Raw_Data!N117</f>
        <v>1</v>
      </c>
      <c r="H119">
        <f>Raw_Data!K117</f>
        <v>1</v>
      </c>
      <c r="I119">
        <f>Raw_Data!R117</f>
        <v>794</v>
      </c>
      <c r="J119">
        <f>Raw_Data!T117</f>
        <v>5.2</v>
      </c>
      <c r="K119" s="14">
        <f>Raw_Data!O117</f>
        <v>46239</v>
      </c>
    </row>
    <row r="120" spans="1:11" x14ac:dyDescent="0.3">
      <c r="A120" t="str">
        <f>Raw_Data!E118</f>
        <v>Aditya Rao</v>
      </c>
      <c r="B120" t="str">
        <f>Raw_Data!B118</f>
        <v>Incoming</v>
      </c>
      <c r="C120" t="str">
        <f>Raw_Data!H118</f>
        <v>completed</v>
      </c>
      <c r="D120">
        <f>Raw_Data!L118</f>
        <v>1</v>
      </c>
      <c r="E120">
        <f>Raw_Data!M118</f>
        <v>0</v>
      </c>
      <c r="F120">
        <f>Raw_Data!I118</f>
        <v>1</v>
      </c>
      <c r="G120">
        <f>Raw_Data!N118</f>
        <v>1</v>
      </c>
      <c r="H120">
        <f>Raw_Data!K118</f>
        <v>1</v>
      </c>
      <c r="I120">
        <f>Raw_Data!R118</f>
        <v>940</v>
      </c>
      <c r="J120">
        <f>Raw_Data!T118</f>
        <v>6</v>
      </c>
      <c r="K120" s="14">
        <f>Raw_Data!O118</f>
        <v>46239</v>
      </c>
    </row>
    <row r="121" spans="1:11" x14ac:dyDescent="0.3">
      <c r="A121" t="str">
        <f>Raw_Data!E119</f>
        <v>Ishita Kapoor</v>
      </c>
      <c r="B121" t="str">
        <f>Raw_Data!B119</f>
        <v>Incoming</v>
      </c>
      <c r="C121" t="str">
        <f>Raw_Data!H119</f>
        <v>completed</v>
      </c>
      <c r="D121">
        <f>Raw_Data!L119</f>
        <v>1</v>
      </c>
      <c r="E121">
        <f>Raw_Data!M119</f>
        <v>0</v>
      </c>
      <c r="F121">
        <f>Raw_Data!I119</f>
        <v>1</v>
      </c>
      <c r="G121">
        <f>Raw_Data!N119</f>
        <v>1</v>
      </c>
      <c r="H121">
        <f>Raw_Data!K119</f>
        <v>1</v>
      </c>
      <c r="I121">
        <f>Raw_Data!R119</f>
        <v>743</v>
      </c>
      <c r="J121">
        <f>Raw_Data!T119</f>
        <v>4.8</v>
      </c>
      <c r="K121" s="14">
        <f>Raw_Data!O119</f>
        <v>46236</v>
      </c>
    </row>
    <row r="122" spans="1:11" x14ac:dyDescent="0.3">
      <c r="A122" t="str">
        <f>Raw_Data!E120</f>
        <v>Ananya Sharma</v>
      </c>
      <c r="B122" t="str">
        <f>Raw_Data!B120</f>
        <v>Incoming</v>
      </c>
      <c r="C122" t="str">
        <f>Raw_Data!H120</f>
        <v>completed</v>
      </c>
      <c r="D122">
        <f>Raw_Data!L120</f>
        <v>1</v>
      </c>
      <c r="E122">
        <f>Raw_Data!M120</f>
        <v>0</v>
      </c>
      <c r="F122">
        <f>Raw_Data!I120</f>
        <v>1</v>
      </c>
      <c r="G122">
        <f>Raw_Data!N120</f>
        <v>1</v>
      </c>
      <c r="H122">
        <f>Raw_Data!K120</f>
        <v>1</v>
      </c>
      <c r="I122">
        <f>Raw_Data!R120</f>
        <v>87</v>
      </c>
      <c r="J122">
        <f>Raw_Data!T120</f>
        <v>0.4</v>
      </c>
      <c r="K122" s="14">
        <f>Raw_Data!O120</f>
        <v>46239</v>
      </c>
    </row>
    <row r="123" spans="1:11" x14ac:dyDescent="0.3">
      <c r="A123" t="str">
        <f>Raw_Data!E121</f>
        <v>Ananya Sharma</v>
      </c>
      <c r="B123" t="str">
        <f>Raw_Data!B121</f>
        <v>Incoming</v>
      </c>
      <c r="C123" t="str">
        <f>Raw_Data!H121</f>
        <v>call-attempt</v>
      </c>
      <c r="D123">
        <f>Raw_Data!L121</f>
        <v>1</v>
      </c>
      <c r="E123">
        <f>Raw_Data!M121</f>
        <v>0</v>
      </c>
      <c r="F123">
        <f>Raw_Data!I121</f>
        <v>0</v>
      </c>
      <c r="G123">
        <f>Raw_Data!N121</f>
        <v>0</v>
      </c>
      <c r="H123">
        <f>Raw_Data!K121</f>
        <v>0</v>
      </c>
      <c r="I123">
        <f>Raw_Data!R121</f>
        <v>8</v>
      </c>
      <c r="J123">
        <f>Raw_Data!T121</f>
        <v>0</v>
      </c>
      <c r="K123" s="14">
        <f>Raw_Data!O121</f>
        <v>46239</v>
      </c>
    </row>
    <row r="124" spans="1:11" x14ac:dyDescent="0.3">
      <c r="A124" t="str">
        <f>Raw_Data!E122</f>
        <v>Aarav Sharma</v>
      </c>
      <c r="B124" t="str">
        <f>Raw_Data!B122</f>
        <v>Incoming</v>
      </c>
      <c r="C124" t="str">
        <f>Raw_Data!H122</f>
        <v>completed</v>
      </c>
      <c r="D124">
        <f>Raw_Data!L122</f>
        <v>1</v>
      </c>
      <c r="E124">
        <f>Raw_Data!M122</f>
        <v>0</v>
      </c>
      <c r="F124">
        <f>Raw_Data!I122</f>
        <v>1</v>
      </c>
      <c r="G124">
        <f>Raw_Data!N122</f>
        <v>1</v>
      </c>
      <c r="H124">
        <f>Raw_Data!K122</f>
        <v>1</v>
      </c>
      <c r="I124">
        <f>Raw_Data!R122</f>
        <v>75</v>
      </c>
      <c r="J124">
        <f>Raw_Data!T122</f>
        <v>0.4</v>
      </c>
      <c r="K124" s="14">
        <f>Raw_Data!O122</f>
        <v>46236</v>
      </c>
    </row>
    <row r="125" spans="1:11" x14ac:dyDescent="0.3">
      <c r="A125" t="str">
        <f>Raw_Data!E123</f>
        <v>Seema Tabbasum</v>
      </c>
      <c r="B125" t="str">
        <f>Raw_Data!B123</f>
        <v>Incoming</v>
      </c>
      <c r="C125" t="str">
        <f>Raw_Data!H123</f>
        <v>call-attempt</v>
      </c>
      <c r="D125">
        <f>Raw_Data!L123</f>
        <v>1</v>
      </c>
      <c r="E125">
        <f>Raw_Data!M123</f>
        <v>0</v>
      </c>
      <c r="F125">
        <f>Raw_Data!I123</f>
        <v>0</v>
      </c>
      <c r="G125">
        <f>Raw_Data!N123</f>
        <v>0</v>
      </c>
      <c r="H125">
        <f>Raw_Data!K123</f>
        <v>0</v>
      </c>
      <c r="I125">
        <f>Raw_Data!R123</f>
        <v>9</v>
      </c>
      <c r="J125">
        <f>Raw_Data!T123</f>
        <v>0</v>
      </c>
      <c r="K125" s="14">
        <f>Raw_Data!O123</f>
        <v>46239</v>
      </c>
    </row>
    <row r="126" spans="1:11" x14ac:dyDescent="0.3">
      <c r="A126" t="str">
        <f>Raw_Data!E124</f>
        <v>Seema Tabbasum</v>
      </c>
      <c r="B126" t="str">
        <f>Raw_Data!B124</f>
        <v>Incoming</v>
      </c>
      <c r="C126" t="str">
        <f>Raw_Data!H124</f>
        <v>completed</v>
      </c>
      <c r="D126">
        <f>Raw_Data!L124</f>
        <v>1</v>
      </c>
      <c r="E126">
        <f>Raw_Data!M124</f>
        <v>0</v>
      </c>
      <c r="F126">
        <f>Raw_Data!I124</f>
        <v>1</v>
      </c>
      <c r="G126">
        <f>Raw_Data!N124</f>
        <v>1</v>
      </c>
      <c r="H126">
        <f>Raw_Data!K124</f>
        <v>1</v>
      </c>
      <c r="I126">
        <f>Raw_Data!R124</f>
        <v>56</v>
      </c>
      <c r="J126">
        <f>Raw_Data!T124</f>
        <v>0.4</v>
      </c>
      <c r="K126" s="14">
        <f>Raw_Data!O124</f>
        <v>46239</v>
      </c>
    </row>
    <row r="127" spans="1:11" x14ac:dyDescent="0.3">
      <c r="A127" t="str">
        <f>Raw_Data!E125</f>
        <v>Seema Tabbasum</v>
      </c>
      <c r="B127" t="str">
        <f>Raw_Data!B125</f>
        <v>Incoming</v>
      </c>
      <c r="C127" t="str">
        <f>Raw_Data!H125</f>
        <v>missed-call</v>
      </c>
      <c r="D127">
        <f>Raw_Data!L125</f>
        <v>1</v>
      </c>
      <c r="E127">
        <f>Raw_Data!M125</f>
        <v>0</v>
      </c>
      <c r="F127">
        <f>Raw_Data!I125</f>
        <v>0</v>
      </c>
      <c r="G127">
        <f>Raw_Data!N125</f>
        <v>0</v>
      </c>
      <c r="H127">
        <f>Raw_Data!K125</f>
        <v>0</v>
      </c>
      <c r="I127">
        <f>Raw_Data!R125</f>
        <v>35</v>
      </c>
      <c r="J127">
        <f>Raw_Data!T125</f>
        <v>0</v>
      </c>
      <c r="K127" s="14">
        <f>Raw_Data!O125</f>
        <v>46239</v>
      </c>
    </row>
    <row r="128" spans="1:11" x14ac:dyDescent="0.3">
      <c r="A128" t="str">
        <f>Raw_Data!E126</f>
        <v>Abdul Usman Ali</v>
      </c>
      <c r="B128" t="str">
        <f>Raw_Data!B126</f>
        <v>Incoming</v>
      </c>
      <c r="C128" t="str">
        <f>Raw_Data!H126</f>
        <v>missed-call</v>
      </c>
      <c r="D128">
        <f>Raw_Data!L126</f>
        <v>1</v>
      </c>
      <c r="E128">
        <f>Raw_Data!M126</f>
        <v>0</v>
      </c>
      <c r="F128">
        <f>Raw_Data!I126</f>
        <v>0</v>
      </c>
      <c r="G128">
        <f>Raw_Data!N126</f>
        <v>0</v>
      </c>
      <c r="H128">
        <f>Raw_Data!K126</f>
        <v>0</v>
      </c>
      <c r="I128">
        <f>Raw_Data!R126</f>
        <v>66</v>
      </c>
      <c r="J128">
        <f>Raw_Data!T126</f>
        <v>0</v>
      </c>
      <c r="K128" s="14">
        <f>Raw_Data!O126</f>
        <v>46239</v>
      </c>
    </row>
    <row r="129" spans="1:11" x14ac:dyDescent="0.3">
      <c r="A129" t="str">
        <f>Raw_Data!E127</f>
        <v>N/A</v>
      </c>
      <c r="B129" t="str">
        <f>Raw_Data!B127</f>
        <v>Incoming</v>
      </c>
      <c r="C129" t="str">
        <f>Raw_Data!H127</f>
        <v>missed-call</v>
      </c>
      <c r="D129">
        <f>Raw_Data!L127</f>
        <v>1</v>
      </c>
      <c r="E129">
        <f>Raw_Data!M127</f>
        <v>0</v>
      </c>
      <c r="F129">
        <f>Raw_Data!I127</f>
        <v>0</v>
      </c>
      <c r="G129">
        <f>Raw_Data!N127</f>
        <v>0</v>
      </c>
      <c r="H129">
        <f>Raw_Data!K127</f>
        <v>0</v>
      </c>
      <c r="I129">
        <f>Raw_Data!R127</f>
        <v>20</v>
      </c>
      <c r="J129">
        <f>Raw_Data!T127</f>
        <v>0</v>
      </c>
      <c r="K129" s="14">
        <f>Raw_Data!O127</f>
        <v>46239</v>
      </c>
    </row>
    <row r="130" spans="1:11" x14ac:dyDescent="0.3">
      <c r="A130" t="str">
        <f>Raw_Data!E128</f>
        <v>N/A</v>
      </c>
      <c r="B130" t="str">
        <f>Raw_Data!B128</f>
        <v>Incoming</v>
      </c>
      <c r="C130" t="str">
        <f>Raw_Data!H128</f>
        <v>missed-call</v>
      </c>
      <c r="D130">
        <f>Raw_Data!L128</f>
        <v>1</v>
      </c>
      <c r="E130">
        <f>Raw_Data!M128</f>
        <v>0</v>
      </c>
      <c r="F130">
        <f>Raw_Data!I128</f>
        <v>0</v>
      </c>
      <c r="G130">
        <f>Raw_Data!N128</f>
        <v>0</v>
      </c>
      <c r="H130">
        <f>Raw_Data!K128</f>
        <v>0</v>
      </c>
      <c r="I130">
        <f>Raw_Data!R128</f>
        <v>49</v>
      </c>
      <c r="J130">
        <f>Raw_Data!T128</f>
        <v>0</v>
      </c>
      <c r="K130" s="14">
        <f>Raw_Data!O128</f>
        <v>46239</v>
      </c>
    </row>
    <row r="131" spans="1:11" x14ac:dyDescent="0.3">
      <c r="A131" t="str">
        <f>Raw_Data!E129</f>
        <v>Martin Nerella</v>
      </c>
      <c r="B131" t="str">
        <f>Raw_Data!B129</f>
        <v>Incoming</v>
      </c>
      <c r="C131" t="str">
        <f>Raw_Data!H129</f>
        <v>missed-call</v>
      </c>
      <c r="D131">
        <f>Raw_Data!L129</f>
        <v>1</v>
      </c>
      <c r="E131">
        <f>Raw_Data!M129</f>
        <v>0</v>
      </c>
      <c r="F131">
        <f>Raw_Data!I129</f>
        <v>0</v>
      </c>
      <c r="G131">
        <f>Raw_Data!N129</f>
        <v>0</v>
      </c>
      <c r="H131">
        <f>Raw_Data!K129</f>
        <v>0</v>
      </c>
      <c r="I131">
        <f>Raw_Data!R129</f>
        <v>32</v>
      </c>
      <c r="J131">
        <f>Raw_Data!T129</f>
        <v>0</v>
      </c>
      <c r="K131" s="14">
        <f>Raw_Data!O129</f>
        <v>46239</v>
      </c>
    </row>
    <row r="132" spans="1:11" x14ac:dyDescent="0.3">
      <c r="A132" t="str">
        <f>Raw_Data!E130</f>
        <v>Seema Tabbasum</v>
      </c>
      <c r="B132" t="str">
        <f>Raw_Data!B130</f>
        <v>Incoming</v>
      </c>
      <c r="C132" t="str">
        <f>Raw_Data!H130</f>
        <v>completed</v>
      </c>
      <c r="D132">
        <f>Raw_Data!L130</f>
        <v>1</v>
      </c>
      <c r="E132">
        <f>Raw_Data!M130</f>
        <v>0</v>
      </c>
      <c r="F132">
        <f>Raw_Data!I130</f>
        <v>1</v>
      </c>
      <c r="G132">
        <f>Raw_Data!N130</f>
        <v>1</v>
      </c>
      <c r="H132">
        <f>Raw_Data!K130</f>
        <v>1</v>
      </c>
      <c r="I132">
        <f>Raw_Data!R130</f>
        <v>67</v>
      </c>
      <c r="J132">
        <f>Raw_Data!T130</f>
        <v>0.4</v>
      </c>
      <c r="K132" s="14">
        <f>Raw_Data!O130</f>
        <v>46239</v>
      </c>
    </row>
    <row r="133" spans="1:11" x14ac:dyDescent="0.3">
      <c r="A133" t="str">
        <f>Raw_Data!E131</f>
        <v>N/A</v>
      </c>
      <c r="B133" t="str">
        <f>Raw_Data!B131</f>
        <v>Incoming</v>
      </c>
      <c r="C133" t="str">
        <f>Raw_Data!H131</f>
        <v>missed-call</v>
      </c>
      <c r="D133">
        <f>Raw_Data!L131</f>
        <v>1</v>
      </c>
      <c r="E133">
        <f>Raw_Data!M131</f>
        <v>0</v>
      </c>
      <c r="F133">
        <f>Raw_Data!I131</f>
        <v>0</v>
      </c>
      <c r="G133">
        <f>Raw_Data!N131</f>
        <v>0</v>
      </c>
      <c r="H133">
        <f>Raw_Data!K131</f>
        <v>0</v>
      </c>
      <c r="I133">
        <f>Raw_Data!R131</f>
        <v>19</v>
      </c>
      <c r="J133">
        <f>Raw_Data!T131</f>
        <v>0</v>
      </c>
      <c r="K133" s="14">
        <f>Raw_Data!O131</f>
        <v>46240</v>
      </c>
    </row>
    <row r="134" spans="1:11" x14ac:dyDescent="0.3">
      <c r="A134" t="str">
        <f>Raw_Data!E132</f>
        <v>N/A</v>
      </c>
      <c r="B134" t="str">
        <f>Raw_Data!B132</f>
        <v>Incoming</v>
      </c>
      <c r="C134" t="str">
        <f>Raw_Data!H132</f>
        <v>call-attempt</v>
      </c>
      <c r="D134">
        <f>Raw_Data!L132</f>
        <v>1</v>
      </c>
      <c r="E134">
        <f>Raw_Data!M132</f>
        <v>0</v>
      </c>
      <c r="F134">
        <f>Raw_Data!I132</f>
        <v>0</v>
      </c>
      <c r="G134">
        <f>Raw_Data!N132</f>
        <v>0</v>
      </c>
      <c r="H134">
        <f>Raw_Data!K132</f>
        <v>0</v>
      </c>
      <c r="I134">
        <f>Raw_Data!R132</f>
        <v>16</v>
      </c>
      <c r="J134">
        <f>Raw_Data!T132</f>
        <v>0</v>
      </c>
      <c r="K134" s="14">
        <f>Raw_Data!O132</f>
        <v>46240</v>
      </c>
    </row>
    <row r="135" spans="1:11" x14ac:dyDescent="0.3">
      <c r="A135" t="str">
        <f>Raw_Data!E133</f>
        <v>Neha Gupta</v>
      </c>
      <c r="B135" t="str">
        <f>Raw_Data!B133</f>
        <v>Incoming</v>
      </c>
      <c r="C135" t="str">
        <f>Raw_Data!H133</f>
        <v>completed</v>
      </c>
      <c r="D135">
        <f>Raw_Data!L133</f>
        <v>1</v>
      </c>
      <c r="E135">
        <f>Raw_Data!M133</f>
        <v>0</v>
      </c>
      <c r="F135">
        <f>Raw_Data!I133</f>
        <v>1</v>
      </c>
      <c r="G135">
        <f>Raw_Data!N133</f>
        <v>1</v>
      </c>
      <c r="H135">
        <f>Raw_Data!K133</f>
        <v>1</v>
      </c>
      <c r="I135">
        <f>Raw_Data!R133</f>
        <v>99</v>
      </c>
      <c r="J135">
        <f>Raw_Data!T133</f>
        <v>0.4</v>
      </c>
      <c r="K135" s="14">
        <f>Raw_Data!O133</f>
        <v>46236</v>
      </c>
    </row>
    <row r="136" spans="1:11" x14ac:dyDescent="0.3">
      <c r="A136" t="str">
        <f>Raw_Data!E134</f>
        <v>N/A</v>
      </c>
      <c r="B136" t="str">
        <f>Raw_Data!B134</f>
        <v>Incoming</v>
      </c>
      <c r="C136" t="str">
        <f>Raw_Data!H134</f>
        <v>completed</v>
      </c>
      <c r="D136">
        <f>Raw_Data!L134</f>
        <v>1</v>
      </c>
      <c r="E136">
        <f>Raw_Data!M134</f>
        <v>0</v>
      </c>
      <c r="F136">
        <f>Raw_Data!I134</f>
        <v>1</v>
      </c>
      <c r="G136">
        <f>Raw_Data!N134</f>
        <v>1</v>
      </c>
      <c r="H136">
        <f>Raw_Data!K134</f>
        <v>1</v>
      </c>
      <c r="I136">
        <f>Raw_Data!R134</f>
        <v>78</v>
      </c>
      <c r="J136">
        <f>Raw_Data!T134</f>
        <v>0.4</v>
      </c>
      <c r="K136" s="14">
        <f>Raw_Data!O134</f>
        <v>46240</v>
      </c>
    </row>
    <row r="137" spans="1:11" x14ac:dyDescent="0.3">
      <c r="A137" t="str">
        <f>Raw_Data!E135</f>
        <v>N/A</v>
      </c>
      <c r="B137" t="str">
        <f>Raw_Data!B135</f>
        <v>Incoming</v>
      </c>
      <c r="C137" t="str">
        <f>Raw_Data!H135</f>
        <v>missed-call</v>
      </c>
      <c r="D137">
        <f>Raw_Data!L135</f>
        <v>1</v>
      </c>
      <c r="E137">
        <f>Raw_Data!M135</f>
        <v>0</v>
      </c>
      <c r="F137">
        <f>Raw_Data!I135</f>
        <v>0</v>
      </c>
      <c r="G137">
        <f>Raw_Data!N135</f>
        <v>0</v>
      </c>
      <c r="H137">
        <f>Raw_Data!K135</f>
        <v>0</v>
      </c>
      <c r="I137">
        <f>Raw_Data!R135</f>
        <v>25</v>
      </c>
      <c r="J137">
        <f>Raw_Data!T135</f>
        <v>0</v>
      </c>
      <c r="K137" s="14">
        <f>Raw_Data!O135</f>
        <v>46240</v>
      </c>
    </row>
    <row r="138" spans="1:11" x14ac:dyDescent="0.3">
      <c r="A138" t="str">
        <f>Raw_Data!E136</f>
        <v>N/A</v>
      </c>
      <c r="B138" t="str">
        <f>Raw_Data!B136</f>
        <v>Incoming</v>
      </c>
      <c r="C138" t="str">
        <f>Raw_Data!H136</f>
        <v>completed</v>
      </c>
      <c r="D138">
        <f>Raw_Data!L136</f>
        <v>1</v>
      </c>
      <c r="E138">
        <f>Raw_Data!M136</f>
        <v>0</v>
      </c>
      <c r="F138">
        <f>Raw_Data!I136</f>
        <v>1</v>
      </c>
      <c r="G138">
        <f>Raw_Data!N136</f>
        <v>1</v>
      </c>
      <c r="H138">
        <f>Raw_Data!K136</f>
        <v>1</v>
      </c>
      <c r="I138">
        <f>Raw_Data!R136</f>
        <v>576</v>
      </c>
      <c r="J138">
        <f>Raw_Data!T136</f>
        <v>4</v>
      </c>
      <c r="K138" s="14">
        <f>Raw_Data!O136</f>
        <v>46240</v>
      </c>
    </row>
    <row r="139" spans="1:11" x14ac:dyDescent="0.3">
      <c r="A139" t="str">
        <f>Raw_Data!E137</f>
        <v>N/A</v>
      </c>
      <c r="B139" t="str">
        <f>Raw_Data!B137</f>
        <v>Incoming</v>
      </c>
      <c r="C139" t="str">
        <f>Raw_Data!H137</f>
        <v>call-attempt</v>
      </c>
      <c r="D139">
        <f>Raw_Data!L137</f>
        <v>1</v>
      </c>
      <c r="E139">
        <f>Raw_Data!M137</f>
        <v>0</v>
      </c>
      <c r="F139">
        <f>Raw_Data!I137</f>
        <v>0</v>
      </c>
      <c r="G139">
        <f>Raw_Data!N137</f>
        <v>0</v>
      </c>
      <c r="H139">
        <f>Raw_Data!K137</f>
        <v>0</v>
      </c>
      <c r="I139">
        <f>Raw_Data!R137</f>
        <v>8</v>
      </c>
      <c r="J139">
        <f>Raw_Data!T137</f>
        <v>0</v>
      </c>
      <c r="K139" s="14">
        <f>Raw_Data!O137</f>
        <v>46240</v>
      </c>
    </row>
    <row r="140" spans="1:11" x14ac:dyDescent="0.3">
      <c r="A140" t="str">
        <f>Raw_Data!E138</f>
        <v>N/A</v>
      </c>
      <c r="B140" t="str">
        <f>Raw_Data!B138</f>
        <v>Incoming</v>
      </c>
      <c r="C140" t="str">
        <f>Raw_Data!H138</f>
        <v>completed</v>
      </c>
      <c r="D140">
        <f>Raw_Data!L138</f>
        <v>1</v>
      </c>
      <c r="E140">
        <f>Raw_Data!M138</f>
        <v>0</v>
      </c>
      <c r="F140">
        <f>Raw_Data!I138</f>
        <v>1</v>
      </c>
      <c r="G140">
        <f>Raw_Data!N138</f>
        <v>1</v>
      </c>
      <c r="H140">
        <f>Raw_Data!K138</f>
        <v>1</v>
      </c>
      <c r="I140">
        <f>Raw_Data!R138</f>
        <v>913</v>
      </c>
      <c r="J140">
        <f>Raw_Data!T138</f>
        <v>6</v>
      </c>
      <c r="K140" s="14">
        <f>Raw_Data!O138</f>
        <v>46240</v>
      </c>
    </row>
    <row r="141" spans="1:11" x14ac:dyDescent="0.3">
      <c r="A141" t="str">
        <f>Raw_Data!E139</f>
        <v>N/A</v>
      </c>
      <c r="B141" t="str">
        <f>Raw_Data!B139</f>
        <v>Incoming</v>
      </c>
      <c r="C141" t="str">
        <f>Raw_Data!H139</f>
        <v>call-attempt</v>
      </c>
      <c r="D141">
        <f>Raw_Data!L139</f>
        <v>1</v>
      </c>
      <c r="E141">
        <f>Raw_Data!M139</f>
        <v>0</v>
      </c>
      <c r="F141">
        <f>Raw_Data!I139</f>
        <v>0</v>
      </c>
      <c r="G141">
        <f>Raw_Data!N139</f>
        <v>0</v>
      </c>
      <c r="H141">
        <f>Raw_Data!K139</f>
        <v>0</v>
      </c>
      <c r="I141">
        <f>Raw_Data!R139</f>
        <v>9</v>
      </c>
      <c r="J141">
        <f>Raw_Data!T139</f>
        <v>0</v>
      </c>
      <c r="K141" s="14">
        <f>Raw_Data!O139</f>
        <v>46240</v>
      </c>
    </row>
    <row r="142" spans="1:11" x14ac:dyDescent="0.3">
      <c r="A142" t="str">
        <f>Raw_Data!E140</f>
        <v>N/A</v>
      </c>
      <c r="B142" t="str">
        <f>Raw_Data!B140</f>
        <v>Incoming</v>
      </c>
      <c r="C142" t="str">
        <f>Raw_Data!H140</f>
        <v>call-attempt</v>
      </c>
      <c r="D142">
        <f>Raw_Data!L140</f>
        <v>1</v>
      </c>
      <c r="E142">
        <f>Raw_Data!M140</f>
        <v>0</v>
      </c>
      <c r="F142">
        <f>Raw_Data!I140</f>
        <v>0</v>
      </c>
      <c r="G142">
        <f>Raw_Data!N140</f>
        <v>0</v>
      </c>
      <c r="H142">
        <f>Raw_Data!K140</f>
        <v>0</v>
      </c>
      <c r="I142">
        <f>Raw_Data!R140</f>
        <v>5</v>
      </c>
      <c r="J142">
        <f>Raw_Data!T140</f>
        <v>0</v>
      </c>
      <c r="K142" s="14">
        <f>Raw_Data!O140</f>
        <v>46240</v>
      </c>
    </row>
    <row r="143" spans="1:11" x14ac:dyDescent="0.3">
      <c r="A143" t="str">
        <f>Raw_Data!E141</f>
        <v>N/A</v>
      </c>
      <c r="B143" t="str">
        <f>Raw_Data!B141</f>
        <v>Incoming</v>
      </c>
      <c r="C143" t="str">
        <f>Raw_Data!H141</f>
        <v>call-attempt</v>
      </c>
      <c r="D143">
        <f>Raw_Data!L141</f>
        <v>1</v>
      </c>
      <c r="E143">
        <f>Raw_Data!M141</f>
        <v>0</v>
      </c>
      <c r="F143">
        <f>Raw_Data!I141</f>
        <v>0</v>
      </c>
      <c r="G143">
        <f>Raw_Data!N141</f>
        <v>0</v>
      </c>
      <c r="H143">
        <f>Raw_Data!K141</f>
        <v>0</v>
      </c>
      <c r="I143">
        <f>Raw_Data!R141</f>
        <v>7</v>
      </c>
      <c r="J143">
        <f>Raw_Data!T141</f>
        <v>0</v>
      </c>
      <c r="K143" s="14">
        <f>Raw_Data!O141</f>
        <v>46240</v>
      </c>
    </row>
    <row r="144" spans="1:11" x14ac:dyDescent="0.3">
      <c r="A144" t="str">
        <f>Raw_Data!E142</f>
        <v>N/A</v>
      </c>
      <c r="B144" t="str">
        <f>Raw_Data!B142</f>
        <v>Incoming</v>
      </c>
      <c r="C144" t="str">
        <f>Raw_Data!H142</f>
        <v>completed</v>
      </c>
      <c r="D144">
        <f>Raw_Data!L142</f>
        <v>1</v>
      </c>
      <c r="E144">
        <f>Raw_Data!M142</f>
        <v>0</v>
      </c>
      <c r="F144">
        <f>Raw_Data!I142</f>
        <v>1</v>
      </c>
      <c r="G144">
        <f>Raw_Data!N142</f>
        <v>1</v>
      </c>
      <c r="H144">
        <f>Raw_Data!K142</f>
        <v>1</v>
      </c>
      <c r="I144">
        <f>Raw_Data!R142</f>
        <v>218</v>
      </c>
      <c r="J144">
        <f>Raw_Data!T142</f>
        <v>1.6</v>
      </c>
      <c r="K144" s="14">
        <f>Raw_Data!O142</f>
        <v>46240</v>
      </c>
    </row>
    <row r="145" spans="1:11" x14ac:dyDescent="0.3">
      <c r="A145" t="str">
        <f>Raw_Data!E143</f>
        <v>N/A</v>
      </c>
      <c r="B145" t="str">
        <f>Raw_Data!B143</f>
        <v>Incoming</v>
      </c>
      <c r="C145" t="str">
        <f>Raw_Data!H143</f>
        <v>call-attempt</v>
      </c>
      <c r="D145">
        <f>Raw_Data!L143</f>
        <v>1</v>
      </c>
      <c r="E145">
        <f>Raw_Data!M143</f>
        <v>0</v>
      </c>
      <c r="F145">
        <f>Raw_Data!I143</f>
        <v>0</v>
      </c>
      <c r="G145">
        <f>Raw_Data!N143</f>
        <v>0</v>
      </c>
      <c r="H145">
        <f>Raw_Data!K143</f>
        <v>0</v>
      </c>
      <c r="I145">
        <f>Raw_Data!R143</f>
        <v>7</v>
      </c>
      <c r="J145">
        <f>Raw_Data!T143</f>
        <v>0</v>
      </c>
      <c r="K145" s="14">
        <f>Raw_Data!O143</f>
        <v>46240</v>
      </c>
    </row>
    <row r="146" spans="1:11" x14ac:dyDescent="0.3">
      <c r="A146" t="str">
        <f>Raw_Data!E144</f>
        <v>N/A</v>
      </c>
      <c r="B146" t="str">
        <f>Raw_Data!B144</f>
        <v>Incoming</v>
      </c>
      <c r="C146" t="str">
        <f>Raw_Data!H144</f>
        <v>completed</v>
      </c>
      <c r="D146">
        <f>Raw_Data!L144</f>
        <v>1</v>
      </c>
      <c r="E146">
        <f>Raw_Data!M144</f>
        <v>0</v>
      </c>
      <c r="F146">
        <f>Raw_Data!I144</f>
        <v>1</v>
      </c>
      <c r="G146">
        <f>Raw_Data!N144</f>
        <v>1</v>
      </c>
      <c r="H146">
        <f>Raw_Data!K144</f>
        <v>1</v>
      </c>
      <c r="I146">
        <f>Raw_Data!R144</f>
        <v>199</v>
      </c>
      <c r="J146">
        <f>Raw_Data!T144</f>
        <v>1.2</v>
      </c>
      <c r="K146" s="14">
        <f>Raw_Data!O144</f>
        <v>46240</v>
      </c>
    </row>
    <row r="147" spans="1:11" x14ac:dyDescent="0.3">
      <c r="A147" t="str">
        <f>Raw_Data!E145</f>
        <v>Siji Sam</v>
      </c>
      <c r="B147" t="str">
        <f>Raw_Data!B145</f>
        <v>Incoming</v>
      </c>
      <c r="C147" t="str">
        <f>Raw_Data!H145</f>
        <v>call-attempt</v>
      </c>
      <c r="D147">
        <f>Raw_Data!L145</f>
        <v>1</v>
      </c>
      <c r="E147">
        <f>Raw_Data!M145</f>
        <v>0</v>
      </c>
      <c r="F147">
        <f>Raw_Data!I145</f>
        <v>0</v>
      </c>
      <c r="G147">
        <f>Raw_Data!N145</f>
        <v>0</v>
      </c>
      <c r="H147">
        <f>Raw_Data!K145</f>
        <v>0</v>
      </c>
      <c r="I147">
        <f>Raw_Data!R145</f>
        <v>5</v>
      </c>
      <c r="J147">
        <f>Raw_Data!T145</f>
        <v>0</v>
      </c>
      <c r="K147" s="14">
        <f>Raw_Data!O145</f>
        <v>46240</v>
      </c>
    </row>
    <row r="148" spans="1:11" x14ac:dyDescent="0.3">
      <c r="A148" t="str">
        <f>Raw_Data!E146</f>
        <v>N/A</v>
      </c>
      <c r="B148" t="str">
        <f>Raw_Data!B146</f>
        <v>Incoming</v>
      </c>
      <c r="C148" t="str">
        <f>Raw_Data!H146</f>
        <v>missed-call</v>
      </c>
      <c r="D148">
        <f>Raw_Data!L146</f>
        <v>1</v>
      </c>
      <c r="E148">
        <f>Raw_Data!M146</f>
        <v>0</v>
      </c>
      <c r="F148">
        <f>Raw_Data!I146</f>
        <v>0</v>
      </c>
      <c r="G148">
        <f>Raw_Data!N146</f>
        <v>0</v>
      </c>
      <c r="H148">
        <f>Raw_Data!K146</f>
        <v>0</v>
      </c>
      <c r="I148">
        <f>Raw_Data!R146</f>
        <v>28</v>
      </c>
      <c r="J148">
        <f>Raw_Data!T146</f>
        <v>0</v>
      </c>
      <c r="K148" s="14">
        <f>Raw_Data!O146</f>
        <v>46240</v>
      </c>
    </row>
    <row r="149" spans="1:11" x14ac:dyDescent="0.3">
      <c r="A149" t="str">
        <f>Raw_Data!E147</f>
        <v>N/A</v>
      </c>
      <c r="B149" t="str">
        <f>Raw_Data!B147</f>
        <v>Incoming</v>
      </c>
      <c r="C149" t="str">
        <f>Raw_Data!H147</f>
        <v>call-attempt</v>
      </c>
      <c r="D149">
        <f>Raw_Data!L147</f>
        <v>1</v>
      </c>
      <c r="E149">
        <f>Raw_Data!M147</f>
        <v>0</v>
      </c>
      <c r="F149">
        <f>Raw_Data!I147</f>
        <v>0</v>
      </c>
      <c r="G149">
        <f>Raw_Data!N147</f>
        <v>0</v>
      </c>
      <c r="H149">
        <f>Raw_Data!K147</f>
        <v>0</v>
      </c>
      <c r="I149">
        <f>Raw_Data!R147</f>
        <v>8</v>
      </c>
      <c r="J149">
        <f>Raw_Data!T147</f>
        <v>0</v>
      </c>
      <c r="K149" s="14">
        <f>Raw_Data!O147</f>
        <v>46240</v>
      </c>
    </row>
    <row r="150" spans="1:11" x14ac:dyDescent="0.3">
      <c r="A150" t="str">
        <f>Raw_Data!E148</f>
        <v>Nishanth D Shekar</v>
      </c>
      <c r="B150" t="str">
        <f>Raw_Data!B148</f>
        <v>Incoming</v>
      </c>
      <c r="C150" t="str">
        <f>Raw_Data!H148</f>
        <v>completed</v>
      </c>
      <c r="D150">
        <f>Raw_Data!L148</f>
        <v>1</v>
      </c>
      <c r="E150">
        <f>Raw_Data!M148</f>
        <v>0</v>
      </c>
      <c r="F150">
        <f>Raw_Data!I148</f>
        <v>1</v>
      </c>
      <c r="G150">
        <f>Raw_Data!N148</f>
        <v>1</v>
      </c>
      <c r="H150">
        <f>Raw_Data!K148</f>
        <v>1</v>
      </c>
      <c r="I150">
        <f>Raw_Data!R148</f>
        <v>34</v>
      </c>
      <c r="J150">
        <f>Raw_Data!T148</f>
        <v>0.4</v>
      </c>
      <c r="K150" s="14">
        <f>Raw_Data!O148</f>
        <v>46240</v>
      </c>
    </row>
    <row r="151" spans="1:11" x14ac:dyDescent="0.3">
      <c r="A151" t="str">
        <f>Raw_Data!E149</f>
        <v>N/A</v>
      </c>
      <c r="B151" t="str">
        <f>Raw_Data!B149</f>
        <v>Incoming</v>
      </c>
      <c r="C151" t="str">
        <f>Raw_Data!H149</f>
        <v>missed-call</v>
      </c>
      <c r="D151">
        <f>Raw_Data!L149</f>
        <v>1</v>
      </c>
      <c r="E151">
        <f>Raw_Data!M149</f>
        <v>0</v>
      </c>
      <c r="F151">
        <f>Raw_Data!I149</f>
        <v>0</v>
      </c>
      <c r="G151">
        <f>Raw_Data!N149</f>
        <v>0</v>
      </c>
      <c r="H151">
        <f>Raw_Data!K149</f>
        <v>0</v>
      </c>
      <c r="I151">
        <f>Raw_Data!R149</f>
        <v>21</v>
      </c>
      <c r="J151">
        <f>Raw_Data!T149</f>
        <v>0</v>
      </c>
      <c r="K151" s="14">
        <f>Raw_Data!O149</f>
        <v>46240</v>
      </c>
    </row>
    <row r="152" spans="1:11" x14ac:dyDescent="0.3">
      <c r="A152" t="str">
        <f>Raw_Data!E150</f>
        <v>N/A</v>
      </c>
      <c r="B152" t="str">
        <f>Raw_Data!B150</f>
        <v>Incoming</v>
      </c>
      <c r="C152" t="str">
        <f>Raw_Data!H150</f>
        <v>call-attempt</v>
      </c>
      <c r="D152">
        <f>Raw_Data!L150</f>
        <v>1</v>
      </c>
      <c r="E152">
        <f>Raw_Data!M150</f>
        <v>0</v>
      </c>
      <c r="F152">
        <f>Raw_Data!I150</f>
        <v>0</v>
      </c>
      <c r="G152">
        <f>Raw_Data!N150</f>
        <v>0</v>
      </c>
      <c r="H152">
        <f>Raw_Data!K150</f>
        <v>0</v>
      </c>
      <c r="I152">
        <f>Raw_Data!R150</f>
        <v>3</v>
      </c>
      <c r="J152">
        <f>Raw_Data!T150</f>
        <v>0</v>
      </c>
      <c r="K152" s="14">
        <f>Raw_Data!O150</f>
        <v>46240</v>
      </c>
    </row>
    <row r="153" spans="1:11" x14ac:dyDescent="0.3">
      <c r="A153" t="str">
        <f>Raw_Data!E151</f>
        <v>N/A</v>
      </c>
      <c r="B153" t="str">
        <f>Raw_Data!B151</f>
        <v>Incoming</v>
      </c>
      <c r="C153" t="str">
        <f>Raw_Data!H151</f>
        <v>completed</v>
      </c>
      <c r="D153">
        <f>Raw_Data!L151</f>
        <v>1</v>
      </c>
      <c r="E153">
        <f>Raw_Data!M151</f>
        <v>0</v>
      </c>
      <c r="F153">
        <f>Raw_Data!I151</f>
        <v>1</v>
      </c>
      <c r="G153">
        <f>Raw_Data!N151</f>
        <v>1</v>
      </c>
      <c r="H153">
        <f>Raw_Data!K151</f>
        <v>1</v>
      </c>
      <c r="I153">
        <f>Raw_Data!R151</f>
        <v>165</v>
      </c>
      <c r="J153">
        <f>Raw_Data!T151</f>
        <v>1.2</v>
      </c>
      <c r="K153" s="14">
        <f>Raw_Data!O151</f>
        <v>46240</v>
      </c>
    </row>
    <row r="154" spans="1:11" x14ac:dyDescent="0.3">
      <c r="A154" t="str">
        <f>Raw_Data!E152</f>
        <v>Pooja Shah</v>
      </c>
      <c r="B154" t="str">
        <f>Raw_Data!B152</f>
        <v>Incoming</v>
      </c>
      <c r="C154" t="str">
        <f>Raw_Data!H152</f>
        <v>call-attempt</v>
      </c>
      <c r="D154">
        <f>Raw_Data!L152</f>
        <v>1</v>
      </c>
      <c r="E154">
        <f>Raw_Data!M152</f>
        <v>0</v>
      </c>
      <c r="F154">
        <f>Raw_Data!I152</f>
        <v>0</v>
      </c>
      <c r="G154">
        <f>Raw_Data!N152</f>
        <v>0</v>
      </c>
      <c r="H154">
        <f>Raw_Data!K152</f>
        <v>0</v>
      </c>
      <c r="I154">
        <f>Raw_Data!R152</f>
        <v>17</v>
      </c>
      <c r="J154">
        <f>Raw_Data!T152</f>
        <v>0</v>
      </c>
      <c r="K154" s="14">
        <f>Raw_Data!O152</f>
        <v>46236</v>
      </c>
    </row>
    <row r="155" spans="1:11" x14ac:dyDescent="0.3">
      <c r="A155" t="str">
        <f>Raw_Data!E153</f>
        <v>N/A</v>
      </c>
      <c r="B155" t="str">
        <f>Raw_Data!B153</f>
        <v>Incoming</v>
      </c>
      <c r="C155" t="str">
        <f>Raw_Data!H153</f>
        <v>call-attempt</v>
      </c>
      <c r="D155">
        <f>Raw_Data!L153</f>
        <v>1</v>
      </c>
      <c r="E155">
        <f>Raw_Data!M153</f>
        <v>0</v>
      </c>
      <c r="F155">
        <f>Raw_Data!I153</f>
        <v>0</v>
      </c>
      <c r="G155">
        <f>Raw_Data!N153</f>
        <v>0</v>
      </c>
      <c r="H155">
        <f>Raw_Data!K153</f>
        <v>0</v>
      </c>
      <c r="I155">
        <f>Raw_Data!R153</f>
        <v>4</v>
      </c>
      <c r="J155">
        <f>Raw_Data!T153</f>
        <v>0</v>
      </c>
      <c r="K155" s="14">
        <f>Raw_Data!O153</f>
        <v>46240</v>
      </c>
    </row>
    <row r="156" spans="1:11" x14ac:dyDescent="0.3">
      <c r="A156" t="str">
        <f>Raw_Data!E154</f>
        <v>N/A</v>
      </c>
      <c r="B156" t="str">
        <f>Raw_Data!B154</f>
        <v>Incoming</v>
      </c>
      <c r="C156" t="str">
        <f>Raw_Data!H154</f>
        <v>missed-call</v>
      </c>
      <c r="D156">
        <f>Raw_Data!L154</f>
        <v>1</v>
      </c>
      <c r="E156">
        <f>Raw_Data!M154</f>
        <v>0</v>
      </c>
      <c r="F156">
        <f>Raw_Data!I154</f>
        <v>0</v>
      </c>
      <c r="G156">
        <f>Raw_Data!N154</f>
        <v>0</v>
      </c>
      <c r="H156">
        <f>Raw_Data!K154</f>
        <v>0</v>
      </c>
      <c r="I156">
        <f>Raw_Data!R154</f>
        <v>14</v>
      </c>
      <c r="J156">
        <f>Raw_Data!T154</f>
        <v>0</v>
      </c>
      <c r="K156" s="14">
        <f>Raw_Data!O154</f>
        <v>46240</v>
      </c>
    </row>
    <row r="157" spans="1:11" x14ac:dyDescent="0.3">
      <c r="A157" t="str">
        <f>Raw_Data!E155</f>
        <v>N/A</v>
      </c>
      <c r="B157" t="str">
        <f>Raw_Data!B155</f>
        <v>Incoming</v>
      </c>
      <c r="C157" t="str">
        <f>Raw_Data!H155</f>
        <v>call-attempt</v>
      </c>
      <c r="D157">
        <f>Raw_Data!L155</f>
        <v>1</v>
      </c>
      <c r="E157">
        <f>Raw_Data!M155</f>
        <v>0</v>
      </c>
      <c r="F157">
        <f>Raw_Data!I155</f>
        <v>0</v>
      </c>
      <c r="G157">
        <f>Raw_Data!N155</f>
        <v>0</v>
      </c>
      <c r="H157">
        <f>Raw_Data!K155</f>
        <v>0</v>
      </c>
      <c r="I157">
        <f>Raw_Data!R155</f>
        <v>9</v>
      </c>
      <c r="J157">
        <f>Raw_Data!T155</f>
        <v>0</v>
      </c>
      <c r="K157" s="14">
        <f>Raw_Data!O155</f>
        <v>46240</v>
      </c>
    </row>
    <row r="158" spans="1:11" x14ac:dyDescent="0.3">
      <c r="A158" t="str">
        <f>Raw_Data!E156</f>
        <v>N/A</v>
      </c>
      <c r="B158" t="str">
        <f>Raw_Data!B156</f>
        <v>Incoming</v>
      </c>
      <c r="C158" t="str">
        <f>Raw_Data!H156</f>
        <v>call-attempt</v>
      </c>
      <c r="D158">
        <f>Raw_Data!L156</f>
        <v>1</v>
      </c>
      <c r="E158">
        <f>Raw_Data!M156</f>
        <v>0</v>
      </c>
      <c r="F158">
        <f>Raw_Data!I156</f>
        <v>0</v>
      </c>
      <c r="G158">
        <f>Raw_Data!N156</f>
        <v>0</v>
      </c>
      <c r="H158">
        <f>Raw_Data!K156</f>
        <v>0</v>
      </c>
      <c r="I158">
        <f>Raw_Data!R156</f>
        <v>6</v>
      </c>
      <c r="J158">
        <f>Raw_Data!T156</f>
        <v>0</v>
      </c>
      <c r="K158" s="14">
        <f>Raw_Data!O156</f>
        <v>46240</v>
      </c>
    </row>
    <row r="159" spans="1:11" x14ac:dyDescent="0.3">
      <c r="A159" t="str">
        <f>Raw_Data!E157</f>
        <v>N/A</v>
      </c>
      <c r="B159" t="str">
        <f>Raw_Data!B157</f>
        <v>Incoming</v>
      </c>
      <c r="C159" t="str">
        <f>Raw_Data!H157</f>
        <v>call-attempt</v>
      </c>
      <c r="D159">
        <f>Raw_Data!L157</f>
        <v>1</v>
      </c>
      <c r="E159">
        <f>Raw_Data!M157</f>
        <v>0</v>
      </c>
      <c r="F159">
        <f>Raw_Data!I157</f>
        <v>0</v>
      </c>
      <c r="G159">
        <f>Raw_Data!N157</f>
        <v>0</v>
      </c>
      <c r="H159">
        <f>Raw_Data!K157</f>
        <v>0</v>
      </c>
      <c r="I159">
        <f>Raw_Data!R157</f>
        <v>1</v>
      </c>
      <c r="J159">
        <f>Raw_Data!T157</f>
        <v>0</v>
      </c>
      <c r="K159" s="14">
        <f>Raw_Data!O157</f>
        <v>46240</v>
      </c>
    </row>
    <row r="160" spans="1:11" x14ac:dyDescent="0.3">
      <c r="A160" t="str">
        <f>Raw_Data!E158</f>
        <v>N/A</v>
      </c>
      <c r="B160" t="str">
        <f>Raw_Data!B158</f>
        <v>Incoming</v>
      </c>
      <c r="C160" t="str">
        <f>Raw_Data!H158</f>
        <v>call-attempt</v>
      </c>
      <c r="D160">
        <f>Raw_Data!L158</f>
        <v>1</v>
      </c>
      <c r="E160">
        <f>Raw_Data!M158</f>
        <v>0</v>
      </c>
      <c r="F160">
        <f>Raw_Data!I158</f>
        <v>0</v>
      </c>
      <c r="G160">
        <f>Raw_Data!N158</f>
        <v>0</v>
      </c>
      <c r="H160">
        <f>Raw_Data!K158</f>
        <v>0</v>
      </c>
      <c r="I160">
        <f>Raw_Data!R158</f>
        <v>3</v>
      </c>
      <c r="J160">
        <f>Raw_Data!T158</f>
        <v>0</v>
      </c>
      <c r="K160" s="14">
        <f>Raw_Data!O158</f>
        <v>46240</v>
      </c>
    </row>
    <row r="161" spans="1:11" x14ac:dyDescent="0.3">
      <c r="A161" t="str">
        <f>Raw_Data!E159</f>
        <v>N/A</v>
      </c>
      <c r="B161" t="str">
        <f>Raw_Data!B159</f>
        <v>Incoming</v>
      </c>
      <c r="C161" t="str">
        <f>Raw_Data!H159</f>
        <v>completed</v>
      </c>
      <c r="D161">
        <f>Raw_Data!L159</f>
        <v>1</v>
      </c>
      <c r="E161">
        <f>Raw_Data!M159</f>
        <v>0</v>
      </c>
      <c r="F161">
        <f>Raw_Data!I159</f>
        <v>1</v>
      </c>
      <c r="G161">
        <f>Raw_Data!N159</f>
        <v>1</v>
      </c>
      <c r="H161">
        <f>Raw_Data!K159</f>
        <v>1</v>
      </c>
      <c r="I161">
        <f>Raw_Data!R159</f>
        <v>245</v>
      </c>
      <c r="J161">
        <f>Raw_Data!T159</f>
        <v>1.6</v>
      </c>
      <c r="K161" s="14">
        <f>Raw_Data!O159</f>
        <v>46241</v>
      </c>
    </row>
    <row r="162" spans="1:11" x14ac:dyDescent="0.3">
      <c r="A162" t="str">
        <f>Raw_Data!E160</f>
        <v>N/A</v>
      </c>
      <c r="B162" t="str">
        <f>Raw_Data!B160</f>
        <v>Incoming</v>
      </c>
      <c r="C162" t="str">
        <f>Raw_Data!H160</f>
        <v>call-attempt</v>
      </c>
      <c r="D162">
        <f>Raw_Data!L160</f>
        <v>1</v>
      </c>
      <c r="E162">
        <f>Raw_Data!M160</f>
        <v>0</v>
      </c>
      <c r="F162">
        <f>Raw_Data!I160</f>
        <v>0</v>
      </c>
      <c r="G162">
        <f>Raw_Data!N160</f>
        <v>0</v>
      </c>
      <c r="H162">
        <f>Raw_Data!K160</f>
        <v>0</v>
      </c>
      <c r="I162">
        <f>Raw_Data!R160</f>
        <v>8</v>
      </c>
      <c r="J162">
        <f>Raw_Data!T160</f>
        <v>0</v>
      </c>
      <c r="K162" s="14">
        <f>Raw_Data!O160</f>
        <v>46241</v>
      </c>
    </row>
    <row r="163" spans="1:11" x14ac:dyDescent="0.3">
      <c r="A163" t="str">
        <f>Raw_Data!E161</f>
        <v>N/A</v>
      </c>
      <c r="B163" t="str">
        <f>Raw_Data!B161</f>
        <v>Incoming</v>
      </c>
      <c r="C163" t="str">
        <f>Raw_Data!H161</f>
        <v>call-attempt</v>
      </c>
      <c r="D163">
        <f>Raw_Data!L161</f>
        <v>1</v>
      </c>
      <c r="E163">
        <f>Raw_Data!M161</f>
        <v>0</v>
      </c>
      <c r="F163">
        <f>Raw_Data!I161</f>
        <v>0</v>
      </c>
      <c r="G163">
        <f>Raw_Data!N161</f>
        <v>0</v>
      </c>
      <c r="H163">
        <f>Raw_Data!K161</f>
        <v>0</v>
      </c>
      <c r="I163">
        <f>Raw_Data!R161</f>
        <v>19</v>
      </c>
      <c r="J163">
        <f>Raw_Data!T161</f>
        <v>0</v>
      </c>
      <c r="K163" s="14">
        <f>Raw_Data!O161</f>
        <v>46241</v>
      </c>
    </row>
    <row r="164" spans="1:11" x14ac:dyDescent="0.3">
      <c r="A164" t="str">
        <f>Raw_Data!E162</f>
        <v>N/A</v>
      </c>
      <c r="B164" t="str">
        <f>Raw_Data!B162</f>
        <v>Incoming</v>
      </c>
      <c r="C164" t="str">
        <f>Raw_Data!H162</f>
        <v>completed</v>
      </c>
      <c r="D164">
        <f>Raw_Data!L162</f>
        <v>1</v>
      </c>
      <c r="E164">
        <f>Raw_Data!M162</f>
        <v>0</v>
      </c>
      <c r="F164">
        <f>Raw_Data!I162</f>
        <v>1</v>
      </c>
      <c r="G164">
        <f>Raw_Data!N162</f>
        <v>1</v>
      </c>
      <c r="H164">
        <f>Raw_Data!K162</f>
        <v>1</v>
      </c>
      <c r="I164">
        <f>Raw_Data!R162</f>
        <v>642</v>
      </c>
      <c r="J164">
        <f>Raw_Data!T162</f>
        <v>4.4000000000000004</v>
      </c>
      <c r="K164" s="14">
        <f>Raw_Data!O162</f>
        <v>46241</v>
      </c>
    </row>
    <row r="165" spans="1:11" x14ac:dyDescent="0.3">
      <c r="A165" t="str">
        <f>Raw_Data!E163</f>
        <v>N/A</v>
      </c>
      <c r="B165" t="str">
        <f>Raw_Data!B163</f>
        <v>Incoming</v>
      </c>
      <c r="C165" t="str">
        <f>Raw_Data!H163</f>
        <v>completed</v>
      </c>
      <c r="D165">
        <f>Raw_Data!L163</f>
        <v>1</v>
      </c>
      <c r="E165">
        <f>Raw_Data!M163</f>
        <v>0</v>
      </c>
      <c r="F165">
        <f>Raw_Data!I163</f>
        <v>1</v>
      </c>
      <c r="G165">
        <f>Raw_Data!N163</f>
        <v>1</v>
      </c>
      <c r="H165">
        <f>Raw_Data!K163</f>
        <v>1</v>
      </c>
      <c r="I165">
        <f>Raw_Data!R163</f>
        <v>478</v>
      </c>
      <c r="J165">
        <f>Raw_Data!T163</f>
        <v>3.2</v>
      </c>
      <c r="K165" s="14">
        <f>Raw_Data!O163</f>
        <v>46241</v>
      </c>
    </row>
    <row r="166" spans="1:11" x14ac:dyDescent="0.3">
      <c r="A166" t="str">
        <f>Raw_Data!E164</f>
        <v>N/A</v>
      </c>
      <c r="B166" t="str">
        <f>Raw_Data!B164</f>
        <v>Incoming</v>
      </c>
      <c r="C166" t="str">
        <f>Raw_Data!H164</f>
        <v>completed</v>
      </c>
      <c r="D166">
        <f>Raw_Data!L164</f>
        <v>1</v>
      </c>
      <c r="E166">
        <f>Raw_Data!M164</f>
        <v>0</v>
      </c>
      <c r="F166">
        <f>Raw_Data!I164</f>
        <v>1</v>
      </c>
      <c r="G166">
        <f>Raw_Data!N164</f>
        <v>1</v>
      </c>
      <c r="H166">
        <f>Raw_Data!K164</f>
        <v>1</v>
      </c>
      <c r="I166">
        <f>Raw_Data!R164</f>
        <v>786</v>
      </c>
      <c r="J166">
        <f>Raw_Data!T164</f>
        <v>5.2</v>
      </c>
      <c r="K166" s="14">
        <f>Raw_Data!O164</f>
        <v>46241</v>
      </c>
    </row>
    <row r="167" spans="1:11" x14ac:dyDescent="0.3">
      <c r="A167" t="str">
        <f>Raw_Data!E165</f>
        <v>N/A</v>
      </c>
      <c r="B167" t="str">
        <f>Raw_Data!B165</f>
        <v>Incoming</v>
      </c>
      <c r="C167" t="str">
        <f>Raw_Data!H165</f>
        <v>completed</v>
      </c>
      <c r="D167">
        <f>Raw_Data!L165</f>
        <v>1</v>
      </c>
      <c r="E167">
        <f>Raw_Data!M165</f>
        <v>0</v>
      </c>
      <c r="F167">
        <f>Raw_Data!I165</f>
        <v>1</v>
      </c>
      <c r="G167">
        <f>Raw_Data!N165</f>
        <v>1</v>
      </c>
      <c r="H167">
        <f>Raw_Data!K165</f>
        <v>1</v>
      </c>
      <c r="I167">
        <f>Raw_Data!R165</f>
        <v>492</v>
      </c>
      <c r="J167">
        <f>Raw_Data!T165</f>
        <v>3.2</v>
      </c>
      <c r="K167" s="14">
        <f>Raw_Data!O165</f>
        <v>46241</v>
      </c>
    </row>
    <row r="168" spans="1:11" x14ac:dyDescent="0.3">
      <c r="A168" t="str">
        <f>Raw_Data!E166</f>
        <v>N/A</v>
      </c>
      <c r="B168" t="str">
        <f>Raw_Data!B166</f>
        <v>Incoming</v>
      </c>
      <c r="C168" t="str">
        <f>Raw_Data!H166</f>
        <v>completed</v>
      </c>
      <c r="D168">
        <f>Raw_Data!L166</f>
        <v>1</v>
      </c>
      <c r="E168">
        <f>Raw_Data!M166</f>
        <v>0</v>
      </c>
      <c r="F168">
        <f>Raw_Data!I166</f>
        <v>1</v>
      </c>
      <c r="G168">
        <f>Raw_Data!N166</f>
        <v>1</v>
      </c>
      <c r="H168">
        <f>Raw_Data!K166</f>
        <v>1</v>
      </c>
      <c r="I168">
        <f>Raw_Data!R166</f>
        <v>29</v>
      </c>
      <c r="J168">
        <f>Raw_Data!T166</f>
        <v>0.4</v>
      </c>
      <c r="K168" s="14">
        <f>Raw_Data!O166</f>
        <v>46241</v>
      </c>
    </row>
    <row r="169" spans="1:11" x14ac:dyDescent="0.3">
      <c r="A169" t="str">
        <f>Raw_Data!E167</f>
        <v>Tejas Chiknaragund</v>
      </c>
      <c r="B169" t="str">
        <f>Raw_Data!B167</f>
        <v>Incoming</v>
      </c>
      <c r="C169" t="str">
        <f>Raw_Data!H167</f>
        <v>call-attempt</v>
      </c>
      <c r="D169">
        <f>Raw_Data!L167</f>
        <v>1</v>
      </c>
      <c r="E169">
        <f>Raw_Data!M167</f>
        <v>0</v>
      </c>
      <c r="F169">
        <f>Raw_Data!I167</f>
        <v>0</v>
      </c>
      <c r="G169">
        <f>Raw_Data!N167</f>
        <v>0</v>
      </c>
      <c r="H169">
        <f>Raw_Data!K167</f>
        <v>0</v>
      </c>
      <c r="I169">
        <f>Raw_Data!R167</f>
        <v>3</v>
      </c>
      <c r="J169">
        <f>Raw_Data!T167</f>
        <v>0</v>
      </c>
      <c r="K169" s="14">
        <f>Raw_Data!O167</f>
        <v>46241</v>
      </c>
    </row>
    <row r="170" spans="1:11" x14ac:dyDescent="0.3">
      <c r="A170" t="str">
        <f>Raw_Data!E168</f>
        <v>N/A</v>
      </c>
      <c r="B170" t="str">
        <f>Raw_Data!B168</f>
        <v>Incoming</v>
      </c>
      <c r="C170" t="str">
        <f>Raw_Data!H168</f>
        <v>completed</v>
      </c>
      <c r="D170">
        <f>Raw_Data!L168</f>
        <v>1</v>
      </c>
      <c r="E170">
        <f>Raw_Data!M168</f>
        <v>0</v>
      </c>
      <c r="F170">
        <f>Raw_Data!I168</f>
        <v>1</v>
      </c>
      <c r="G170">
        <f>Raw_Data!N168</f>
        <v>1</v>
      </c>
      <c r="H170">
        <f>Raw_Data!K168</f>
        <v>1</v>
      </c>
      <c r="I170">
        <f>Raw_Data!R168</f>
        <v>653</v>
      </c>
      <c r="J170">
        <f>Raw_Data!T168</f>
        <v>4.4000000000000004</v>
      </c>
      <c r="K170" s="14">
        <f>Raw_Data!O168</f>
        <v>46241</v>
      </c>
    </row>
    <row r="171" spans="1:11" x14ac:dyDescent="0.3">
      <c r="A171" t="str">
        <f>Raw_Data!E169</f>
        <v>N/A</v>
      </c>
      <c r="B171" t="str">
        <f>Raw_Data!B169</f>
        <v>Incoming</v>
      </c>
      <c r="C171" t="str">
        <f>Raw_Data!H169</f>
        <v>completed</v>
      </c>
      <c r="D171">
        <f>Raw_Data!L169</f>
        <v>1</v>
      </c>
      <c r="E171">
        <f>Raw_Data!M169</f>
        <v>0</v>
      </c>
      <c r="F171">
        <f>Raw_Data!I169</f>
        <v>1</v>
      </c>
      <c r="G171">
        <f>Raw_Data!N169</f>
        <v>1</v>
      </c>
      <c r="H171">
        <f>Raw_Data!K169</f>
        <v>1</v>
      </c>
      <c r="I171">
        <f>Raw_Data!R169</f>
        <v>72</v>
      </c>
      <c r="J171">
        <f>Raw_Data!T169</f>
        <v>0.4</v>
      </c>
      <c r="K171" s="14">
        <f>Raw_Data!O169</f>
        <v>46241</v>
      </c>
    </row>
    <row r="172" spans="1:11" x14ac:dyDescent="0.3">
      <c r="A172" t="str">
        <f>Raw_Data!E170</f>
        <v>N/A</v>
      </c>
      <c r="B172" t="str">
        <f>Raw_Data!B170</f>
        <v>Incoming</v>
      </c>
      <c r="C172" t="str">
        <f>Raw_Data!H170</f>
        <v>missed-call</v>
      </c>
      <c r="D172">
        <f>Raw_Data!L170</f>
        <v>1</v>
      </c>
      <c r="E172">
        <f>Raw_Data!M170</f>
        <v>0</v>
      </c>
      <c r="F172">
        <f>Raw_Data!I170</f>
        <v>0</v>
      </c>
      <c r="G172">
        <f>Raw_Data!N170</f>
        <v>0</v>
      </c>
      <c r="H172">
        <f>Raw_Data!K170</f>
        <v>0</v>
      </c>
      <c r="I172">
        <f>Raw_Data!R170</f>
        <v>30</v>
      </c>
      <c r="J172">
        <f>Raw_Data!T170</f>
        <v>0</v>
      </c>
      <c r="K172" s="14">
        <f>Raw_Data!O170</f>
        <v>46241</v>
      </c>
    </row>
    <row r="173" spans="1:11" x14ac:dyDescent="0.3">
      <c r="A173" t="str">
        <f>Raw_Data!E171</f>
        <v>Simran Kaur</v>
      </c>
      <c r="B173" t="str">
        <f>Raw_Data!B171</f>
        <v>Incoming</v>
      </c>
      <c r="C173" t="str">
        <f>Raw_Data!H171</f>
        <v>call-attempt</v>
      </c>
      <c r="D173">
        <f>Raw_Data!L171</f>
        <v>1</v>
      </c>
      <c r="E173">
        <f>Raw_Data!M171</f>
        <v>0</v>
      </c>
      <c r="F173">
        <f>Raw_Data!I171</f>
        <v>0</v>
      </c>
      <c r="G173">
        <f>Raw_Data!N171</f>
        <v>0</v>
      </c>
      <c r="H173">
        <f>Raw_Data!K171</f>
        <v>0</v>
      </c>
      <c r="I173">
        <f>Raw_Data!R171</f>
        <v>9</v>
      </c>
      <c r="J173">
        <f>Raw_Data!T171</f>
        <v>0</v>
      </c>
      <c r="K173" s="14">
        <f>Raw_Data!O171</f>
        <v>46236</v>
      </c>
    </row>
    <row r="174" spans="1:11" x14ac:dyDescent="0.3">
      <c r="A174" t="str">
        <f>Raw_Data!E172</f>
        <v>N/A</v>
      </c>
      <c r="B174" t="str">
        <f>Raw_Data!B172</f>
        <v>Incoming</v>
      </c>
      <c r="C174" t="str">
        <f>Raw_Data!H172</f>
        <v>call-attempt</v>
      </c>
      <c r="D174">
        <f>Raw_Data!L172</f>
        <v>1</v>
      </c>
      <c r="E174">
        <f>Raw_Data!M172</f>
        <v>0</v>
      </c>
      <c r="F174">
        <f>Raw_Data!I172</f>
        <v>0</v>
      </c>
      <c r="G174">
        <f>Raw_Data!N172</f>
        <v>0</v>
      </c>
      <c r="H174">
        <f>Raw_Data!K172</f>
        <v>0</v>
      </c>
      <c r="I174">
        <f>Raw_Data!R172</f>
        <v>4</v>
      </c>
      <c r="J174">
        <f>Raw_Data!T172</f>
        <v>0</v>
      </c>
      <c r="K174" s="14">
        <f>Raw_Data!O172</f>
        <v>46241</v>
      </c>
    </row>
    <row r="175" spans="1:11" x14ac:dyDescent="0.3">
      <c r="A175" t="str">
        <f>Raw_Data!E173</f>
        <v>N/A</v>
      </c>
      <c r="B175" t="str">
        <f>Raw_Data!B173</f>
        <v>Incoming</v>
      </c>
      <c r="C175" t="str">
        <f>Raw_Data!H173</f>
        <v>completed</v>
      </c>
      <c r="D175">
        <f>Raw_Data!L173</f>
        <v>1</v>
      </c>
      <c r="E175">
        <f>Raw_Data!M173</f>
        <v>0</v>
      </c>
      <c r="F175">
        <f>Raw_Data!I173</f>
        <v>1</v>
      </c>
      <c r="G175">
        <f>Raw_Data!N173</f>
        <v>1</v>
      </c>
      <c r="H175">
        <f>Raw_Data!K173</f>
        <v>1</v>
      </c>
      <c r="I175">
        <f>Raw_Data!R173</f>
        <v>23</v>
      </c>
      <c r="J175">
        <f>Raw_Data!T173</f>
        <v>0.4</v>
      </c>
      <c r="K175" s="14">
        <f>Raw_Data!O173</f>
        <v>46241</v>
      </c>
    </row>
    <row r="176" spans="1:11" x14ac:dyDescent="0.3">
      <c r="A176" t="str">
        <f>Raw_Data!E174</f>
        <v>N/A</v>
      </c>
      <c r="B176" t="str">
        <f>Raw_Data!B174</f>
        <v>Incoming</v>
      </c>
      <c r="C176" t="str">
        <f>Raw_Data!H174</f>
        <v>missed-call</v>
      </c>
      <c r="D176">
        <f>Raw_Data!L174</f>
        <v>1</v>
      </c>
      <c r="E176">
        <f>Raw_Data!M174</f>
        <v>0</v>
      </c>
      <c r="F176">
        <f>Raw_Data!I174</f>
        <v>0</v>
      </c>
      <c r="G176">
        <f>Raw_Data!N174</f>
        <v>0</v>
      </c>
      <c r="H176">
        <f>Raw_Data!K174</f>
        <v>0</v>
      </c>
      <c r="I176">
        <f>Raw_Data!R174</f>
        <v>11</v>
      </c>
      <c r="J176">
        <f>Raw_Data!T174</f>
        <v>0</v>
      </c>
      <c r="K176" s="14">
        <f>Raw_Data!O174</f>
        <v>46241</v>
      </c>
    </row>
    <row r="177" spans="1:11" x14ac:dyDescent="0.3">
      <c r="A177" t="str">
        <f>Raw_Data!E175</f>
        <v>N/A</v>
      </c>
      <c r="B177" t="str">
        <f>Raw_Data!B175</f>
        <v>Incoming</v>
      </c>
      <c r="C177" t="str">
        <f>Raw_Data!H175</f>
        <v>completed</v>
      </c>
      <c r="D177">
        <f>Raw_Data!L175</f>
        <v>1</v>
      </c>
      <c r="E177">
        <f>Raw_Data!M175</f>
        <v>0</v>
      </c>
      <c r="F177">
        <f>Raw_Data!I175</f>
        <v>1</v>
      </c>
      <c r="G177">
        <f>Raw_Data!N175</f>
        <v>1</v>
      </c>
      <c r="H177">
        <f>Raw_Data!K175</f>
        <v>1</v>
      </c>
      <c r="I177">
        <f>Raw_Data!R175</f>
        <v>539</v>
      </c>
      <c r="J177">
        <f>Raw_Data!T175</f>
        <v>3.6</v>
      </c>
      <c r="K177" s="14">
        <f>Raw_Data!O175</f>
        <v>46241</v>
      </c>
    </row>
    <row r="178" spans="1:11" x14ac:dyDescent="0.3">
      <c r="A178" t="str">
        <f>Raw_Data!E176</f>
        <v>N/A</v>
      </c>
      <c r="B178" t="str">
        <f>Raw_Data!B176</f>
        <v>Incoming</v>
      </c>
      <c r="C178" t="str">
        <f>Raw_Data!H176</f>
        <v>completed</v>
      </c>
      <c r="D178">
        <f>Raw_Data!L176</f>
        <v>1</v>
      </c>
      <c r="E178">
        <f>Raw_Data!M176</f>
        <v>0</v>
      </c>
      <c r="F178">
        <f>Raw_Data!I176</f>
        <v>1</v>
      </c>
      <c r="G178">
        <f>Raw_Data!N176</f>
        <v>1</v>
      </c>
      <c r="H178">
        <f>Raw_Data!K176</f>
        <v>1</v>
      </c>
      <c r="I178">
        <f>Raw_Data!R176</f>
        <v>746</v>
      </c>
      <c r="J178">
        <f>Raw_Data!T176</f>
        <v>4.8</v>
      </c>
      <c r="K178" s="14">
        <f>Raw_Data!O176</f>
        <v>46241</v>
      </c>
    </row>
    <row r="179" spans="1:11" x14ac:dyDescent="0.3">
      <c r="A179" t="str">
        <f>Raw_Data!E177</f>
        <v>N/A</v>
      </c>
      <c r="B179" t="str">
        <f>Raw_Data!B177</f>
        <v>Incoming</v>
      </c>
      <c r="C179" t="str">
        <f>Raw_Data!H177</f>
        <v>missed-call</v>
      </c>
      <c r="D179">
        <f>Raw_Data!L177</f>
        <v>1</v>
      </c>
      <c r="E179">
        <f>Raw_Data!M177</f>
        <v>0</v>
      </c>
      <c r="F179">
        <f>Raw_Data!I177</f>
        <v>0</v>
      </c>
      <c r="G179">
        <f>Raw_Data!N177</f>
        <v>0</v>
      </c>
      <c r="H179">
        <f>Raw_Data!K177</f>
        <v>0</v>
      </c>
      <c r="I179">
        <f>Raw_Data!R177</f>
        <v>23</v>
      </c>
      <c r="J179">
        <f>Raw_Data!T177</f>
        <v>0</v>
      </c>
      <c r="K179" s="14">
        <f>Raw_Data!O177</f>
        <v>46241</v>
      </c>
    </row>
    <row r="180" spans="1:11" x14ac:dyDescent="0.3">
      <c r="A180" t="str">
        <f>Raw_Data!E178</f>
        <v>N/A</v>
      </c>
      <c r="B180" t="str">
        <f>Raw_Data!B178</f>
        <v>Incoming</v>
      </c>
      <c r="C180" t="str">
        <f>Raw_Data!H178</f>
        <v>call-attempt</v>
      </c>
      <c r="D180">
        <f>Raw_Data!L178</f>
        <v>1</v>
      </c>
      <c r="E180">
        <f>Raw_Data!M178</f>
        <v>0</v>
      </c>
      <c r="F180">
        <f>Raw_Data!I178</f>
        <v>0</v>
      </c>
      <c r="G180">
        <f>Raw_Data!N178</f>
        <v>0</v>
      </c>
      <c r="H180">
        <f>Raw_Data!K178</f>
        <v>0</v>
      </c>
      <c r="I180">
        <f>Raw_Data!R178</f>
        <v>3</v>
      </c>
      <c r="J180">
        <f>Raw_Data!T178</f>
        <v>0</v>
      </c>
      <c r="K180" s="14">
        <f>Raw_Data!O178</f>
        <v>46241</v>
      </c>
    </row>
    <row r="181" spans="1:11" x14ac:dyDescent="0.3">
      <c r="A181" t="str">
        <f>Raw_Data!E179</f>
        <v>N/A</v>
      </c>
      <c r="B181" t="str">
        <f>Raw_Data!B179</f>
        <v>Incoming</v>
      </c>
      <c r="C181" t="str">
        <f>Raw_Data!H179</f>
        <v>call-attempt</v>
      </c>
      <c r="D181">
        <f>Raw_Data!L179</f>
        <v>1</v>
      </c>
      <c r="E181">
        <f>Raw_Data!M179</f>
        <v>0</v>
      </c>
      <c r="F181">
        <f>Raw_Data!I179</f>
        <v>0</v>
      </c>
      <c r="G181">
        <f>Raw_Data!N179</f>
        <v>0</v>
      </c>
      <c r="H181">
        <f>Raw_Data!K179</f>
        <v>0</v>
      </c>
      <c r="I181">
        <f>Raw_Data!R179</f>
        <v>6</v>
      </c>
      <c r="J181">
        <f>Raw_Data!T179</f>
        <v>0</v>
      </c>
      <c r="K181" s="14">
        <f>Raw_Data!O179</f>
        <v>46241</v>
      </c>
    </row>
    <row r="182" spans="1:11" x14ac:dyDescent="0.3">
      <c r="A182" t="str">
        <f>Raw_Data!E180</f>
        <v>N/A</v>
      </c>
      <c r="B182" t="str">
        <f>Raw_Data!B180</f>
        <v>Incoming</v>
      </c>
      <c r="C182" t="str">
        <f>Raw_Data!H180</f>
        <v>call-attempt</v>
      </c>
      <c r="D182">
        <f>Raw_Data!L180</f>
        <v>1</v>
      </c>
      <c r="E182">
        <f>Raw_Data!M180</f>
        <v>0</v>
      </c>
      <c r="F182">
        <f>Raw_Data!I180</f>
        <v>0</v>
      </c>
      <c r="G182">
        <f>Raw_Data!N180</f>
        <v>0</v>
      </c>
      <c r="H182">
        <f>Raw_Data!K180</f>
        <v>0</v>
      </c>
      <c r="I182">
        <f>Raw_Data!R180</f>
        <v>10</v>
      </c>
      <c r="J182">
        <f>Raw_Data!T180</f>
        <v>0</v>
      </c>
      <c r="K182" s="14">
        <f>Raw_Data!O180</f>
        <v>46241</v>
      </c>
    </row>
    <row r="183" spans="1:11" x14ac:dyDescent="0.3">
      <c r="A183" t="str">
        <f>Raw_Data!E181</f>
        <v>N/A</v>
      </c>
      <c r="B183" t="str">
        <f>Raw_Data!B181</f>
        <v>Incoming</v>
      </c>
      <c r="C183" t="str">
        <f>Raw_Data!H181</f>
        <v>call-attempt</v>
      </c>
      <c r="D183">
        <f>Raw_Data!L181</f>
        <v>1</v>
      </c>
      <c r="E183">
        <f>Raw_Data!M181</f>
        <v>0</v>
      </c>
      <c r="F183">
        <f>Raw_Data!I181</f>
        <v>0</v>
      </c>
      <c r="G183">
        <f>Raw_Data!N181</f>
        <v>0</v>
      </c>
      <c r="H183">
        <f>Raw_Data!K181</f>
        <v>0</v>
      </c>
      <c r="I183">
        <f>Raw_Data!R181</f>
        <v>15</v>
      </c>
      <c r="J183">
        <f>Raw_Data!T181</f>
        <v>0</v>
      </c>
      <c r="K183" s="14">
        <f>Raw_Data!O181</f>
        <v>46241</v>
      </c>
    </row>
    <row r="184" spans="1:11" x14ac:dyDescent="0.3">
      <c r="A184" t="str">
        <f>Raw_Data!E182</f>
        <v>Riya Mehta</v>
      </c>
      <c r="B184" t="str">
        <f>Raw_Data!B182</f>
        <v>Incoming</v>
      </c>
      <c r="C184" t="str">
        <f>Raw_Data!H182</f>
        <v>missed-call</v>
      </c>
      <c r="D184">
        <f>Raw_Data!L182</f>
        <v>1</v>
      </c>
      <c r="E184">
        <f>Raw_Data!M182</f>
        <v>0</v>
      </c>
      <c r="F184">
        <f>Raw_Data!I182</f>
        <v>0</v>
      </c>
      <c r="G184">
        <f>Raw_Data!N182</f>
        <v>0</v>
      </c>
      <c r="H184">
        <f>Raw_Data!K182</f>
        <v>0</v>
      </c>
      <c r="I184">
        <f>Raw_Data!R182</f>
        <v>73</v>
      </c>
      <c r="J184">
        <f>Raw_Data!T182</f>
        <v>0</v>
      </c>
      <c r="K184" s="14">
        <f>Raw_Data!O182</f>
        <v>46236</v>
      </c>
    </row>
    <row r="185" spans="1:11" x14ac:dyDescent="0.3">
      <c r="A185" t="str">
        <f>Raw_Data!E183</f>
        <v>Tanvi Reddy</v>
      </c>
      <c r="B185" t="str">
        <f>Raw_Data!B183</f>
        <v>Incoming</v>
      </c>
      <c r="C185" t="str">
        <f>Raw_Data!H183</f>
        <v>completed</v>
      </c>
      <c r="D185">
        <f>Raw_Data!L183</f>
        <v>1</v>
      </c>
      <c r="E185">
        <f>Raw_Data!M183</f>
        <v>0</v>
      </c>
      <c r="F185">
        <f>Raw_Data!I183</f>
        <v>1</v>
      </c>
      <c r="G185">
        <f>Raw_Data!N183</f>
        <v>1</v>
      </c>
      <c r="H185">
        <f>Raw_Data!K183</f>
        <v>1</v>
      </c>
      <c r="I185">
        <f>Raw_Data!R183</f>
        <v>344</v>
      </c>
      <c r="J185">
        <f>Raw_Data!T183</f>
        <v>2.4</v>
      </c>
      <c r="K185" s="14">
        <f>Raw_Data!O183</f>
        <v>46236</v>
      </c>
    </row>
    <row r="186" spans="1:11" x14ac:dyDescent="0.3">
      <c r="A186" t="str">
        <f>Raw_Data!E184</f>
        <v>Abhishek Jain</v>
      </c>
      <c r="B186" t="str">
        <f>Raw_Data!B184</f>
        <v>Incoming</v>
      </c>
      <c r="C186" t="str">
        <f>Raw_Data!H184</f>
        <v>completed</v>
      </c>
      <c r="D186">
        <f>Raw_Data!L184</f>
        <v>1</v>
      </c>
      <c r="E186">
        <f>Raw_Data!M184</f>
        <v>0</v>
      </c>
      <c r="F186">
        <f>Raw_Data!I184</f>
        <v>1</v>
      </c>
      <c r="G186">
        <f>Raw_Data!N184</f>
        <v>1</v>
      </c>
      <c r="H186">
        <f>Raw_Data!K184</f>
        <v>1</v>
      </c>
      <c r="I186">
        <f>Raw_Data!R184</f>
        <v>651</v>
      </c>
      <c r="J186">
        <f>Raw_Data!T184</f>
        <v>4.4000000000000004</v>
      </c>
      <c r="K186" s="14">
        <f>Raw_Data!O184</f>
        <v>46236</v>
      </c>
    </row>
    <row r="187" spans="1:11" x14ac:dyDescent="0.3">
      <c r="A187" t="str">
        <f>Raw_Data!E185</f>
        <v>Varun Iyer</v>
      </c>
      <c r="B187" t="str">
        <f>Raw_Data!B185</f>
        <v>Incoming</v>
      </c>
      <c r="C187" t="str">
        <f>Raw_Data!H185</f>
        <v>call-attempt</v>
      </c>
      <c r="D187">
        <f>Raw_Data!L185</f>
        <v>1</v>
      </c>
      <c r="E187">
        <f>Raw_Data!M185</f>
        <v>0</v>
      </c>
      <c r="F187">
        <f>Raw_Data!I185</f>
        <v>0</v>
      </c>
      <c r="G187">
        <f>Raw_Data!N185</f>
        <v>0</v>
      </c>
      <c r="H187">
        <f>Raw_Data!K185</f>
        <v>0</v>
      </c>
      <c r="I187">
        <f>Raw_Data!R185</f>
        <v>3</v>
      </c>
      <c r="J187">
        <f>Raw_Data!T185</f>
        <v>0</v>
      </c>
      <c r="K187" s="14">
        <f>Raw_Data!O185</f>
        <v>46236</v>
      </c>
    </row>
    <row r="188" spans="1:11" x14ac:dyDescent="0.3">
      <c r="A188" t="str">
        <f>Raw_Data!E186</f>
        <v>Karan Malhotra</v>
      </c>
      <c r="B188" t="str">
        <f>Raw_Data!B186</f>
        <v>Incoming</v>
      </c>
      <c r="C188" t="str">
        <f>Raw_Data!H186</f>
        <v>completed</v>
      </c>
      <c r="D188">
        <f>Raw_Data!L186</f>
        <v>1</v>
      </c>
      <c r="E188">
        <f>Raw_Data!M186</f>
        <v>0</v>
      </c>
      <c r="F188">
        <f>Raw_Data!I186</f>
        <v>1</v>
      </c>
      <c r="G188">
        <f>Raw_Data!N186</f>
        <v>1</v>
      </c>
      <c r="H188">
        <f>Raw_Data!K186</f>
        <v>1</v>
      </c>
      <c r="I188">
        <f>Raw_Data!R186</f>
        <v>111</v>
      </c>
      <c r="J188">
        <f>Raw_Data!T186</f>
        <v>0.8</v>
      </c>
      <c r="K188" s="14">
        <f>Raw_Data!O186</f>
        <v>46236</v>
      </c>
    </row>
    <row r="189" spans="1:11" x14ac:dyDescent="0.3">
      <c r="A189" t="str">
        <f>Raw_Data!E187</f>
        <v>Harsh Patel</v>
      </c>
      <c r="B189" t="str">
        <f>Raw_Data!B187</f>
        <v>Incoming</v>
      </c>
      <c r="C189" t="str">
        <f>Raw_Data!H187</f>
        <v>missed-call</v>
      </c>
      <c r="D189">
        <f>Raw_Data!L187</f>
        <v>1</v>
      </c>
      <c r="E189">
        <f>Raw_Data!M187</f>
        <v>0</v>
      </c>
      <c r="F189">
        <f>Raw_Data!I187</f>
        <v>0</v>
      </c>
      <c r="G189">
        <f>Raw_Data!N187</f>
        <v>0</v>
      </c>
      <c r="H189">
        <f>Raw_Data!K187</f>
        <v>0</v>
      </c>
      <c r="I189">
        <f>Raw_Data!R187</f>
        <v>51</v>
      </c>
      <c r="J189">
        <f>Raw_Data!T187</f>
        <v>0</v>
      </c>
      <c r="K189" s="14">
        <f>Raw_Data!O187</f>
        <v>46236</v>
      </c>
    </row>
    <row r="190" spans="1:11" x14ac:dyDescent="0.3">
      <c r="A190" t="str">
        <f>Raw_Data!E188</f>
        <v>Arjun Nair</v>
      </c>
      <c r="B190" t="str">
        <f>Raw_Data!B188</f>
        <v>Incoming</v>
      </c>
      <c r="C190" t="str">
        <f>Raw_Data!H188</f>
        <v>completed</v>
      </c>
      <c r="D190">
        <f>Raw_Data!L188</f>
        <v>1</v>
      </c>
      <c r="E190">
        <f>Raw_Data!M188</f>
        <v>0</v>
      </c>
      <c r="F190">
        <f>Raw_Data!I188</f>
        <v>1</v>
      </c>
      <c r="G190">
        <f>Raw_Data!N188</f>
        <v>1</v>
      </c>
      <c r="H190">
        <f>Raw_Data!K188</f>
        <v>1</v>
      </c>
      <c r="I190">
        <f>Raw_Data!R188</f>
        <v>317</v>
      </c>
      <c r="J190">
        <f>Raw_Data!T188</f>
        <v>2</v>
      </c>
      <c r="K190" s="14">
        <f>Raw_Data!O188</f>
        <v>46236</v>
      </c>
    </row>
    <row r="191" spans="1:11" x14ac:dyDescent="0.3">
      <c r="A191" t="str">
        <f>Raw_Data!E189</f>
        <v>Neha Gupta</v>
      </c>
      <c r="B191" t="str">
        <f>Raw_Data!B189</f>
        <v>Incoming</v>
      </c>
      <c r="C191" t="str">
        <f>Raw_Data!H189</f>
        <v>completed</v>
      </c>
      <c r="D191">
        <f>Raw_Data!L189</f>
        <v>1</v>
      </c>
      <c r="E191">
        <f>Raw_Data!M189</f>
        <v>0</v>
      </c>
      <c r="F191">
        <f>Raw_Data!I189</f>
        <v>1</v>
      </c>
      <c r="G191">
        <f>Raw_Data!N189</f>
        <v>1</v>
      </c>
      <c r="H191">
        <f>Raw_Data!K189</f>
        <v>1</v>
      </c>
      <c r="I191">
        <f>Raw_Data!R189</f>
        <v>150</v>
      </c>
      <c r="J191">
        <f>Raw_Data!T189</f>
        <v>0.8</v>
      </c>
      <c r="K191" s="14">
        <f>Raw_Data!O189</f>
        <v>46236</v>
      </c>
    </row>
    <row r="192" spans="1:11" x14ac:dyDescent="0.3">
      <c r="A192" t="str">
        <f>Raw_Data!E190</f>
        <v>Anjali Menon</v>
      </c>
      <c r="B192" t="str">
        <f>Raw_Data!B190</f>
        <v>Incoming</v>
      </c>
      <c r="C192" t="str">
        <f>Raw_Data!H190</f>
        <v>completed</v>
      </c>
      <c r="D192">
        <f>Raw_Data!L190</f>
        <v>1</v>
      </c>
      <c r="E192">
        <f>Raw_Data!M190</f>
        <v>0</v>
      </c>
      <c r="F192">
        <f>Raw_Data!I190</f>
        <v>1</v>
      </c>
      <c r="G192">
        <f>Raw_Data!N190</f>
        <v>1</v>
      </c>
      <c r="H192">
        <f>Raw_Data!K190</f>
        <v>1</v>
      </c>
      <c r="I192">
        <f>Raw_Data!R190</f>
        <v>1359</v>
      </c>
      <c r="J192">
        <f>Raw_Data!T190</f>
        <v>9.1999999999999993</v>
      </c>
      <c r="K192" s="14">
        <f>Raw_Data!O190</f>
        <v>46236</v>
      </c>
    </row>
    <row r="193" spans="1:11" x14ac:dyDescent="0.3">
      <c r="A193" t="str">
        <f>Raw_Data!E191</f>
        <v>Arjun Nair</v>
      </c>
      <c r="B193" t="str">
        <f>Raw_Data!B191</f>
        <v>Incoming</v>
      </c>
      <c r="C193" t="str">
        <f>Raw_Data!H191</f>
        <v>missed-call</v>
      </c>
      <c r="D193">
        <f>Raw_Data!L191</f>
        <v>1</v>
      </c>
      <c r="E193">
        <f>Raw_Data!M191</f>
        <v>0</v>
      </c>
      <c r="F193">
        <f>Raw_Data!I191</f>
        <v>0</v>
      </c>
      <c r="G193">
        <f>Raw_Data!N191</f>
        <v>0</v>
      </c>
      <c r="H193">
        <f>Raw_Data!K191</f>
        <v>0</v>
      </c>
      <c r="I193">
        <f>Raw_Data!R191</f>
        <v>28</v>
      </c>
      <c r="J193">
        <f>Raw_Data!T191</f>
        <v>0</v>
      </c>
      <c r="K193" s="14">
        <f>Raw_Data!O191</f>
        <v>46236</v>
      </c>
    </row>
    <row r="194" spans="1:11" x14ac:dyDescent="0.3">
      <c r="A194" t="str">
        <f>Raw_Data!E192</f>
        <v>Rohan Mehta</v>
      </c>
      <c r="B194" t="str">
        <f>Raw_Data!B192</f>
        <v>Incoming</v>
      </c>
      <c r="C194" t="str">
        <f>Raw_Data!H192</f>
        <v>missed-call</v>
      </c>
      <c r="D194">
        <f>Raw_Data!L192</f>
        <v>1</v>
      </c>
      <c r="E194">
        <f>Raw_Data!M192</f>
        <v>0</v>
      </c>
      <c r="F194">
        <f>Raw_Data!I192</f>
        <v>0</v>
      </c>
      <c r="G194">
        <f>Raw_Data!N192</f>
        <v>0</v>
      </c>
      <c r="H194">
        <f>Raw_Data!K192</f>
        <v>0</v>
      </c>
      <c r="I194">
        <f>Raw_Data!R192</f>
        <v>32</v>
      </c>
      <c r="J194">
        <f>Raw_Data!T192</f>
        <v>0</v>
      </c>
      <c r="K194" s="14">
        <f>Raw_Data!O192</f>
        <v>46236</v>
      </c>
    </row>
    <row r="195" spans="1:11" x14ac:dyDescent="0.3">
      <c r="A195" t="str">
        <f>Raw_Data!E193</f>
        <v>Shreya Iyer</v>
      </c>
      <c r="B195" t="str">
        <f>Raw_Data!B193</f>
        <v>Incoming</v>
      </c>
      <c r="C195" t="str">
        <f>Raw_Data!H193</f>
        <v>completed</v>
      </c>
      <c r="D195">
        <f>Raw_Data!L193</f>
        <v>1</v>
      </c>
      <c r="E195">
        <f>Raw_Data!M193</f>
        <v>0</v>
      </c>
      <c r="F195">
        <f>Raw_Data!I193</f>
        <v>1</v>
      </c>
      <c r="G195">
        <f>Raw_Data!N193</f>
        <v>1</v>
      </c>
      <c r="H195">
        <f>Raw_Data!K193</f>
        <v>1</v>
      </c>
      <c r="I195">
        <f>Raw_Data!R193</f>
        <v>769</v>
      </c>
      <c r="J195">
        <f>Raw_Data!T193</f>
        <v>4.4000000000000004</v>
      </c>
      <c r="K195" s="14">
        <f>Raw_Data!O193</f>
        <v>46236</v>
      </c>
    </row>
    <row r="196" spans="1:11" x14ac:dyDescent="0.3">
      <c r="A196" t="str">
        <f>Raw_Data!E194</f>
        <v>Aarav Sharma</v>
      </c>
      <c r="B196" t="str">
        <f>Raw_Data!B194</f>
        <v>Incoming</v>
      </c>
      <c r="C196" t="str">
        <f>Raw_Data!H194</f>
        <v>call-attempt</v>
      </c>
      <c r="D196">
        <f>Raw_Data!L194</f>
        <v>1</v>
      </c>
      <c r="E196">
        <f>Raw_Data!M194</f>
        <v>0</v>
      </c>
      <c r="F196">
        <f>Raw_Data!I194</f>
        <v>0</v>
      </c>
      <c r="G196">
        <f>Raw_Data!N194</f>
        <v>0</v>
      </c>
      <c r="H196">
        <f>Raw_Data!K194</f>
        <v>0</v>
      </c>
      <c r="I196">
        <f>Raw_Data!R194</f>
        <v>4</v>
      </c>
      <c r="J196">
        <f>Raw_Data!T194</f>
        <v>0</v>
      </c>
      <c r="K196" s="14">
        <f>Raw_Data!O194</f>
        <v>46236</v>
      </c>
    </row>
    <row r="197" spans="1:11" x14ac:dyDescent="0.3">
      <c r="A197" t="str">
        <f>Raw_Data!E195</f>
        <v>Sneha Reddy</v>
      </c>
      <c r="B197" t="str">
        <f>Raw_Data!B195</f>
        <v>Incoming</v>
      </c>
      <c r="C197" t="str">
        <f>Raw_Data!H195</f>
        <v>missed-call</v>
      </c>
      <c r="D197">
        <f>Raw_Data!L195</f>
        <v>1</v>
      </c>
      <c r="E197">
        <f>Raw_Data!M195</f>
        <v>0</v>
      </c>
      <c r="F197">
        <f>Raw_Data!I195</f>
        <v>0</v>
      </c>
      <c r="G197">
        <f>Raw_Data!N195</f>
        <v>0</v>
      </c>
      <c r="H197">
        <f>Raw_Data!K195</f>
        <v>0</v>
      </c>
      <c r="I197">
        <f>Raw_Data!R195</f>
        <v>56</v>
      </c>
      <c r="J197">
        <f>Raw_Data!T195</f>
        <v>0</v>
      </c>
      <c r="K197" s="14">
        <f>Raw_Data!O195</f>
        <v>46236</v>
      </c>
    </row>
    <row r="198" spans="1:11" x14ac:dyDescent="0.3">
      <c r="A198" t="str">
        <f>Raw_Data!E196</f>
        <v>Meera Joshi</v>
      </c>
      <c r="B198" t="str">
        <f>Raw_Data!B196</f>
        <v>Incoming</v>
      </c>
      <c r="C198" t="str">
        <f>Raw_Data!H196</f>
        <v>completed</v>
      </c>
      <c r="D198">
        <f>Raw_Data!L196</f>
        <v>1</v>
      </c>
      <c r="E198">
        <f>Raw_Data!M196</f>
        <v>0</v>
      </c>
      <c r="F198">
        <f>Raw_Data!I196</f>
        <v>1</v>
      </c>
      <c r="G198">
        <f>Raw_Data!N196</f>
        <v>1</v>
      </c>
      <c r="H198">
        <f>Raw_Data!K196</f>
        <v>1</v>
      </c>
      <c r="I198">
        <f>Raw_Data!R196</f>
        <v>169</v>
      </c>
      <c r="J198">
        <f>Raw_Data!T196</f>
        <v>0.8</v>
      </c>
      <c r="K198" s="14">
        <f>Raw_Data!O196</f>
        <v>46237</v>
      </c>
    </row>
    <row r="199" spans="1:11" x14ac:dyDescent="0.3">
      <c r="A199" t="str">
        <f>Raw_Data!E197</f>
        <v>Nandini Das</v>
      </c>
      <c r="B199" t="str">
        <f>Raw_Data!B197</f>
        <v>Incoming</v>
      </c>
      <c r="C199" t="str">
        <f>Raw_Data!H197</f>
        <v>completed</v>
      </c>
      <c r="D199">
        <f>Raw_Data!L197</f>
        <v>1</v>
      </c>
      <c r="E199">
        <f>Raw_Data!M197</f>
        <v>0</v>
      </c>
      <c r="F199">
        <f>Raw_Data!I197</f>
        <v>1</v>
      </c>
      <c r="G199">
        <f>Raw_Data!N197</f>
        <v>1</v>
      </c>
      <c r="H199">
        <f>Raw_Data!K197</f>
        <v>1</v>
      </c>
      <c r="I199">
        <f>Raw_Data!R197</f>
        <v>242</v>
      </c>
      <c r="J199">
        <f>Raw_Data!T197</f>
        <v>1.6</v>
      </c>
      <c r="K199" s="14">
        <f>Raw_Data!O197</f>
        <v>46237</v>
      </c>
    </row>
    <row r="200" spans="1:11" x14ac:dyDescent="0.3">
      <c r="A200" t="str">
        <f>Raw_Data!E198</f>
        <v>Nandini Das</v>
      </c>
      <c r="B200" t="str">
        <f>Raw_Data!B198</f>
        <v>Incoming</v>
      </c>
      <c r="C200" t="str">
        <f>Raw_Data!H198</f>
        <v>missed-call</v>
      </c>
      <c r="D200">
        <f>Raw_Data!L198</f>
        <v>1</v>
      </c>
      <c r="E200">
        <f>Raw_Data!M198</f>
        <v>0</v>
      </c>
      <c r="F200">
        <f>Raw_Data!I198</f>
        <v>0</v>
      </c>
      <c r="G200">
        <f>Raw_Data!N198</f>
        <v>0</v>
      </c>
      <c r="H200">
        <f>Raw_Data!K198</f>
        <v>0</v>
      </c>
      <c r="I200">
        <f>Raw_Data!R198</f>
        <v>31</v>
      </c>
      <c r="J200">
        <f>Raw_Data!T198</f>
        <v>0</v>
      </c>
      <c r="K200" s="14">
        <f>Raw_Data!O198</f>
        <v>46237</v>
      </c>
    </row>
    <row r="201" spans="1:11" x14ac:dyDescent="0.3">
      <c r="A201" t="str">
        <f>Raw_Data!E199</f>
        <v>Vivek Gupta</v>
      </c>
      <c r="B201" t="str">
        <f>Raw_Data!B199</f>
        <v>Incoming</v>
      </c>
      <c r="C201" t="str">
        <f>Raw_Data!H199</f>
        <v>missed-call</v>
      </c>
      <c r="D201">
        <f>Raw_Data!L199</f>
        <v>1</v>
      </c>
      <c r="E201">
        <f>Raw_Data!M199</f>
        <v>0</v>
      </c>
      <c r="F201">
        <f>Raw_Data!I199</f>
        <v>0</v>
      </c>
      <c r="G201">
        <f>Raw_Data!N199</f>
        <v>0</v>
      </c>
      <c r="H201">
        <f>Raw_Data!K199</f>
        <v>0</v>
      </c>
      <c r="I201">
        <f>Raw_Data!R199</f>
        <v>40</v>
      </c>
      <c r="J201">
        <f>Raw_Data!T199</f>
        <v>0</v>
      </c>
      <c r="K201" s="14">
        <f>Raw_Data!O199</f>
        <v>46237</v>
      </c>
    </row>
    <row r="202" spans="1:11" x14ac:dyDescent="0.3">
      <c r="A202" t="str">
        <f>Raw_Data!E200</f>
        <v>Siddharth Jain</v>
      </c>
      <c r="B202" t="str">
        <f>Raw_Data!B200</f>
        <v>Incoming</v>
      </c>
      <c r="C202" t="str">
        <f>Raw_Data!H200</f>
        <v>call-attempt</v>
      </c>
      <c r="D202">
        <f>Raw_Data!L200</f>
        <v>1</v>
      </c>
      <c r="E202">
        <f>Raw_Data!M200</f>
        <v>0</v>
      </c>
      <c r="F202">
        <f>Raw_Data!I200</f>
        <v>0</v>
      </c>
      <c r="G202">
        <f>Raw_Data!N200</f>
        <v>0</v>
      </c>
      <c r="H202">
        <f>Raw_Data!K200</f>
        <v>0</v>
      </c>
      <c r="I202">
        <f>Raw_Data!R200</f>
        <v>20</v>
      </c>
      <c r="J202">
        <f>Raw_Data!T200</f>
        <v>0</v>
      </c>
      <c r="K202" s="14">
        <f>Raw_Data!O200</f>
        <v>46237</v>
      </c>
    </row>
    <row r="203" spans="1:11" x14ac:dyDescent="0.3">
      <c r="A203" t="str">
        <f>Raw_Data!E201</f>
        <v>Tanvi Reddy</v>
      </c>
      <c r="B203" t="str">
        <f>Raw_Data!B201</f>
        <v>Incoming</v>
      </c>
      <c r="C203" t="str">
        <f>Raw_Data!H201</f>
        <v>completed</v>
      </c>
      <c r="D203">
        <f>Raw_Data!L201</f>
        <v>1</v>
      </c>
      <c r="E203">
        <f>Raw_Data!M201</f>
        <v>0</v>
      </c>
      <c r="F203">
        <f>Raw_Data!I201</f>
        <v>1</v>
      </c>
      <c r="G203">
        <f>Raw_Data!N201</f>
        <v>1</v>
      </c>
      <c r="H203">
        <f>Raw_Data!K201</f>
        <v>1</v>
      </c>
      <c r="I203">
        <f>Raw_Data!R201</f>
        <v>147</v>
      </c>
      <c r="J203">
        <f>Raw_Data!T201</f>
        <v>0.8</v>
      </c>
      <c r="K203" s="14">
        <f>Raw_Data!O201</f>
        <v>46237</v>
      </c>
    </row>
    <row r="204" spans="1:11" x14ac:dyDescent="0.3">
      <c r="A204" t="str">
        <f>Raw_Data!E202</f>
        <v>Amit Kulkarni</v>
      </c>
      <c r="B204" t="str">
        <f>Raw_Data!B202</f>
        <v>Outgoing</v>
      </c>
      <c r="C204" t="str">
        <f>Raw_Data!H202</f>
        <v>failed</v>
      </c>
      <c r="D204">
        <f>Raw_Data!L202</f>
        <v>0</v>
      </c>
      <c r="E204">
        <f>Raw_Data!M202</f>
        <v>1</v>
      </c>
      <c r="F204">
        <f>Raw_Data!I202</f>
        <v>0</v>
      </c>
      <c r="G204">
        <f>Raw_Data!N202</f>
        <v>0</v>
      </c>
      <c r="H204">
        <f>Raw_Data!K202</f>
        <v>0</v>
      </c>
      <c r="I204">
        <f>Raw_Data!R202</f>
        <v>7</v>
      </c>
      <c r="J204">
        <f>Raw_Data!T202</f>
        <v>0</v>
      </c>
      <c r="K204" s="14">
        <f>Raw_Data!O202</f>
        <v>46237</v>
      </c>
    </row>
    <row r="205" spans="1:11" x14ac:dyDescent="0.3">
      <c r="A205" t="str">
        <f>Raw_Data!E203</f>
        <v>Aditi Shah</v>
      </c>
      <c r="B205" t="str">
        <f>Raw_Data!B203</f>
        <v>Outgoing</v>
      </c>
      <c r="C205" t="str">
        <f>Raw_Data!H203</f>
        <v>failed</v>
      </c>
      <c r="D205">
        <f>Raw_Data!L203</f>
        <v>0</v>
      </c>
      <c r="E205">
        <f>Raw_Data!M203</f>
        <v>1</v>
      </c>
      <c r="F205">
        <f>Raw_Data!I203</f>
        <v>0</v>
      </c>
      <c r="G205">
        <f>Raw_Data!N203</f>
        <v>0</v>
      </c>
      <c r="H205">
        <f>Raw_Data!K203</f>
        <v>0</v>
      </c>
      <c r="I205">
        <f>Raw_Data!R203</f>
        <v>21</v>
      </c>
      <c r="J205">
        <f>Raw_Data!T203</f>
        <v>0.4</v>
      </c>
      <c r="K205" s="14">
        <f>Raw_Data!O203</f>
        <v>46237</v>
      </c>
    </row>
    <row r="206" spans="1:11" x14ac:dyDescent="0.3">
      <c r="A206" t="str">
        <f>Raw_Data!E204</f>
        <v>Akash Singh</v>
      </c>
      <c r="B206" t="str">
        <f>Raw_Data!B204</f>
        <v>Outgoing</v>
      </c>
      <c r="C206" t="str">
        <f>Raw_Data!H204</f>
        <v>completed</v>
      </c>
      <c r="D206">
        <f>Raw_Data!L204</f>
        <v>0</v>
      </c>
      <c r="E206">
        <f>Raw_Data!M204</f>
        <v>1</v>
      </c>
      <c r="F206">
        <f>Raw_Data!I204</f>
        <v>1</v>
      </c>
      <c r="G206">
        <f>Raw_Data!N204</f>
        <v>0</v>
      </c>
      <c r="H206">
        <f>Raw_Data!K204</f>
        <v>1</v>
      </c>
      <c r="I206">
        <f>Raw_Data!R204</f>
        <v>45</v>
      </c>
      <c r="J206">
        <f>Raw_Data!T204</f>
        <v>1.1499999999999999</v>
      </c>
      <c r="K206" s="14">
        <f>Raw_Data!O204</f>
        <v>46237</v>
      </c>
    </row>
    <row r="207" spans="1:11" x14ac:dyDescent="0.3">
      <c r="A207" t="str">
        <f>Raw_Data!E205</f>
        <v>Aditi Shah</v>
      </c>
      <c r="B207" t="str">
        <f>Raw_Data!B205</f>
        <v>Outgoing</v>
      </c>
      <c r="C207" t="str">
        <f>Raw_Data!H205</f>
        <v>completed</v>
      </c>
      <c r="D207">
        <f>Raw_Data!L205</f>
        <v>0</v>
      </c>
      <c r="E207">
        <f>Raw_Data!M205</f>
        <v>1</v>
      </c>
      <c r="F207">
        <f>Raw_Data!I205</f>
        <v>1</v>
      </c>
      <c r="G207">
        <f>Raw_Data!N205</f>
        <v>0</v>
      </c>
      <c r="H207">
        <f>Raw_Data!K205</f>
        <v>1</v>
      </c>
      <c r="I207">
        <f>Raw_Data!R205</f>
        <v>36</v>
      </c>
      <c r="J207">
        <f>Raw_Data!T205</f>
        <v>1.1499999999999999</v>
      </c>
      <c r="K207" s="14">
        <f>Raw_Data!O205</f>
        <v>46237</v>
      </c>
    </row>
    <row r="208" spans="1:11" x14ac:dyDescent="0.3">
      <c r="A208" t="str">
        <f>Raw_Data!E206</f>
        <v>Riya Mehta</v>
      </c>
      <c r="B208" t="str">
        <f>Raw_Data!B206</f>
        <v>Outgoing</v>
      </c>
      <c r="C208" t="str">
        <f>Raw_Data!H206</f>
        <v>failed</v>
      </c>
      <c r="D208">
        <f>Raw_Data!L206</f>
        <v>0</v>
      </c>
      <c r="E208">
        <f>Raw_Data!M206</f>
        <v>1</v>
      </c>
      <c r="F208">
        <f>Raw_Data!I206</f>
        <v>0</v>
      </c>
      <c r="G208">
        <f>Raw_Data!N206</f>
        <v>0</v>
      </c>
      <c r="H208">
        <f>Raw_Data!K206</f>
        <v>0</v>
      </c>
      <c r="I208">
        <f>Raw_Data!R206</f>
        <v>18</v>
      </c>
      <c r="J208">
        <f>Raw_Data!T206</f>
        <v>0.4</v>
      </c>
      <c r="K208" s="14">
        <f>Raw_Data!O206</f>
        <v>46237</v>
      </c>
    </row>
    <row r="209" spans="1:11" x14ac:dyDescent="0.3">
      <c r="A209" t="str">
        <f>Raw_Data!E207</f>
        <v>Arjun Nair</v>
      </c>
      <c r="B209" t="str">
        <f>Raw_Data!B207</f>
        <v>Outgoing</v>
      </c>
      <c r="C209" t="str">
        <f>Raw_Data!H207</f>
        <v>completed</v>
      </c>
      <c r="D209">
        <f>Raw_Data!L207</f>
        <v>0</v>
      </c>
      <c r="E209">
        <f>Raw_Data!M207</f>
        <v>1</v>
      </c>
      <c r="F209">
        <f>Raw_Data!I207</f>
        <v>1</v>
      </c>
      <c r="G209">
        <f>Raw_Data!N207</f>
        <v>0</v>
      </c>
      <c r="H209">
        <f>Raw_Data!K207</f>
        <v>1</v>
      </c>
      <c r="I209">
        <f>Raw_Data!R207</f>
        <v>51</v>
      </c>
      <c r="J209">
        <f>Raw_Data!T207</f>
        <v>1.1499999999999999</v>
      </c>
      <c r="K209" s="14">
        <f>Raw_Data!O207</f>
        <v>46237</v>
      </c>
    </row>
    <row r="210" spans="1:11" x14ac:dyDescent="0.3">
      <c r="A210" t="str">
        <f>Raw_Data!E208</f>
        <v>Nikhil Kapoor</v>
      </c>
      <c r="B210" t="str">
        <f>Raw_Data!B208</f>
        <v>Outgoing</v>
      </c>
      <c r="C210" t="str">
        <f>Raw_Data!H208</f>
        <v>completed</v>
      </c>
      <c r="D210">
        <f>Raw_Data!L208</f>
        <v>0</v>
      </c>
      <c r="E210">
        <f>Raw_Data!M208</f>
        <v>1</v>
      </c>
      <c r="F210">
        <f>Raw_Data!I208</f>
        <v>1</v>
      </c>
      <c r="G210">
        <f>Raw_Data!N208</f>
        <v>0</v>
      </c>
      <c r="H210">
        <f>Raw_Data!K208</f>
        <v>1</v>
      </c>
      <c r="I210">
        <f>Raw_Data!R208</f>
        <v>51</v>
      </c>
      <c r="J210">
        <f>Raw_Data!T208</f>
        <v>0</v>
      </c>
      <c r="K210" s="14">
        <f>Raw_Data!O208</f>
        <v>46237</v>
      </c>
    </row>
    <row r="211" spans="1:11" x14ac:dyDescent="0.3">
      <c r="A211" t="str">
        <f>Raw_Data!E209</f>
        <v>Kavya Menon</v>
      </c>
      <c r="B211" t="str">
        <f>Raw_Data!B209</f>
        <v>Outgoing</v>
      </c>
      <c r="C211" t="str">
        <f>Raw_Data!H209</f>
        <v>failed</v>
      </c>
      <c r="D211">
        <f>Raw_Data!L209</f>
        <v>0</v>
      </c>
      <c r="E211">
        <f>Raw_Data!M209</f>
        <v>1</v>
      </c>
      <c r="F211">
        <f>Raw_Data!I209</f>
        <v>0</v>
      </c>
      <c r="G211">
        <f>Raw_Data!N209</f>
        <v>0</v>
      </c>
      <c r="H211">
        <f>Raw_Data!K209</f>
        <v>0</v>
      </c>
      <c r="I211">
        <f>Raw_Data!R209</f>
        <v>19</v>
      </c>
      <c r="J211">
        <f>Raw_Data!T209</f>
        <v>0.4</v>
      </c>
      <c r="K211" s="14">
        <f>Raw_Data!O209</f>
        <v>46237</v>
      </c>
    </row>
    <row r="212" spans="1:11" x14ac:dyDescent="0.3">
      <c r="A212" t="str">
        <f>Raw_Data!E210</f>
        <v>Ishita Kapoor</v>
      </c>
      <c r="B212" t="str">
        <f>Raw_Data!B210</f>
        <v>Outgoing</v>
      </c>
      <c r="C212" t="str">
        <f>Raw_Data!H210</f>
        <v>no-answer</v>
      </c>
      <c r="D212">
        <f>Raw_Data!L210</f>
        <v>0</v>
      </c>
      <c r="E212">
        <f>Raw_Data!M210</f>
        <v>1</v>
      </c>
      <c r="F212">
        <f>Raw_Data!I210</f>
        <v>0</v>
      </c>
      <c r="G212">
        <f>Raw_Data!N210</f>
        <v>0</v>
      </c>
      <c r="H212">
        <f>Raw_Data!K210</f>
        <v>0</v>
      </c>
      <c r="I212">
        <f>Raw_Data!R210</f>
        <v>42</v>
      </c>
      <c r="J212">
        <f>Raw_Data!T210</f>
        <v>0.4</v>
      </c>
      <c r="K212" s="14">
        <f>Raw_Data!O210</f>
        <v>46237</v>
      </c>
    </row>
    <row r="213" spans="1:11" x14ac:dyDescent="0.3">
      <c r="A213" t="str">
        <f>Raw_Data!E211</f>
        <v>Amit Kulkarni</v>
      </c>
      <c r="B213" t="str">
        <f>Raw_Data!B211</f>
        <v>Outgoing</v>
      </c>
      <c r="C213" t="str">
        <f>Raw_Data!H211</f>
        <v>failed</v>
      </c>
      <c r="D213">
        <f>Raw_Data!L211</f>
        <v>0</v>
      </c>
      <c r="E213">
        <f>Raw_Data!M211</f>
        <v>1</v>
      </c>
      <c r="F213">
        <f>Raw_Data!I211</f>
        <v>0</v>
      </c>
      <c r="G213">
        <f>Raw_Data!N211</f>
        <v>0</v>
      </c>
      <c r="H213">
        <f>Raw_Data!K211</f>
        <v>0</v>
      </c>
      <c r="I213">
        <f>Raw_Data!R211</f>
        <v>11</v>
      </c>
      <c r="J213">
        <f>Raw_Data!T211</f>
        <v>0</v>
      </c>
      <c r="K213" s="14">
        <f>Raw_Data!O211</f>
        <v>46237</v>
      </c>
    </row>
    <row r="214" spans="1:11" x14ac:dyDescent="0.3">
      <c r="A214" t="str">
        <f>Raw_Data!E212</f>
        <v>Aarav Sharma</v>
      </c>
      <c r="B214" t="str">
        <f>Raw_Data!B212</f>
        <v>Outgoing</v>
      </c>
      <c r="C214" t="str">
        <f>Raw_Data!H212</f>
        <v>no-answer</v>
      </c>
      <c r="D214">
        <f>Raw_Data!L212</f>
        <v>0</v>
      </c>
      <c r="E214">
        <f>Raw_Data!M212</f>
        <v>1</v>
      </c>
      <c r="F214">
        <f>Raw_Data!I212</f>
        <v>0</v>
      </c>
      <c r="G214">
        <f>Raw_Data!N212</f>
        <v>0</v>
      </c>
      <c r="H214">
        <f>Raw_Data!K212</f>
        <v>0</v>
      </c>
      <c r="I214">
        <f>Raw_Data!R212</f>
        <v>41</v>
      </c>
      <c r="J214">
        <f>Raw_Data!T212</f>
        <v>0.4</v>
      </c>
      <c r="K214" s="14">
        <f>Raw_Data!O212</f>
        <v>46237</v>
      </c>
    </row>
    <row r="215" spans="1:11" x14ac:dyDescent="0.3">
      <c r="A215" t="str">
        <f>Raw_Data!E213</f>
        <v>Amit Kulkarni</v>
      </c>
      <c r="B215" t="str">
        <f>Raw_Data!B213</f>
        <v>Outgoing</v>
      </c>
      <c r="C215" t="str">
        <f>Raw_Data!H213</f>
        <v>completed</v>
      </c>
      <c r="D215">
        <f>Raw_Data!L213</f>
        <v>0</v>
      </c>
      <c r="E215">
        <f>Raw_Data!M213</f>
        <v>1</v>
      </c>
      <c r="F215">
        <f>Raw_Data!I213</f>
        <v>1</v>
      </c>
      <c r="G215">
        <f>Raw_Data!N213</f>
        <v>0</v>
      </c>
      <c r="H215">
        <f>Raw_Data!K213</f>
        <v>1</v>
      </c>
      <c r="I215">
        <f>Raw_Data!R213</f>
        <v>90</v>
      </c>
      <c r="J215">
        <f>Raw_Data!T213</f>
        <v>2.2999999999999998</v>
      </c>
      <c r="K215" s="14">
        <f>Raw_Data!O213</f>
        <v>46237</v>
      </c>
    </row>
    <row r="216" spans="1:11" x14ac:dyDescent="0.3">
      <c r="A216" t="str">
        <f>Raw_Data!E214</f>
        <v>Rohan Mehta</v>
      </c>
      <c r="B216" t="str">
        <f>Raw_Data!B214</f>
        <v>Outgoing</v>
      </c>
      <c r="C216" t="str">
        <f>Raw_Data!H214</f>
        <v>no-answer</v>
      </c>
      <c r="D216">
        <f>Raw_Data!L214</f>
        <v>0</v>
      </c>
      <c r="E216">
        <f>Raw_Data!M214</f>
        <v>1</v>
      </c>
      <c r="F216">
        <f>Raw_Data!I214</f>
        <v>0</v>
      </c>
      <c r="G216">
        <f>Raw_Data!N214</f>
        <v>0</v>
      </c>
      <c r="H216">
        <f>Raw_Data!K214</f>
        <v>0</v>
      </c>
      <c r="I216">
        <f>Raw_Data!R214</f>
        <v>48</v>
      </c>
      <c r="J216">
        <f>Raw_Data!T214</f>
        <v>0.4</v>
      </c>
      <c r="K216" s="14">
        <f>Raw_Data!O214</f>
        <v>46237</v>
      </c>
    </row>
    <row r="217" spans="1:11" x14ac:dyDescent="0.3">
      <c r="A217" t="str">
        <f>Raw_Data!E215</f>
        <v>Pooja Shah</v>
      </c>
      <c r="B217" t="str">
        <f>Raw_Data!B215</f>
        <v>Outgoing</v>
      </c>
      <c r="C217" t="str">
        <f>Raw_Data!H215</f>
        <v>failed</v>
      </c>
      <c r="D217">
        <f>Raw_Data!L215</f>
        <v>0</v>
      </c>
      <c r="E217">
        <f>Raw_Data!M215</f>
        <v>1</v>
      </c>
      <c r="F217">
        <f>Raw_Data!I215</f>
        <v>0</v>
      </c>
      <c r="G217">
        <f>Raw_Data!N215</f>
        <v>0</v>
      </c>
      <c r="H217">
        <f>Raw_Data!K215</f>
        <v>0</v>
      </c>
      <c r="I217">
        <f>Raw_Data!R215</f>
        <v>27</v>
      </c>
      <c r="J217">
        <f>Raw_Data!T215</f>
        <v>0.4</v>
      </c>
      <c r="K217" s="14">
        <f>Raw_Data!O215</f>
        <v>46237</v>
      </c>
    </row>
    <row r="218" spans="1:11" x14ac:dyDescent="0.3">
      <c r="A218" t="str">
        <f>Raw_Data!E216</f>
        <v>Pallavi Rao</v>
      </c>
      <c r="B218" t="str">
        <f>Raw_Data!B216</f>
        <v>Outgoing</v>
      </c>
      <c r="C218" t="str">
        <f>Raw_Data!H216</f>
        <v>completed</v>
      </c>
      <c r="D218">
        <f>Raw_Data!L216</f>
        <v>0</v>
      </c>
      <c r="E218">
        <f>Raw_Data!M216</f>
        <v>1</v>
      </c>
      <c r="F218">
        <f>Raw_Data!I216</f>
        <v>1</v>
      </c>
      <c r="G218">
        <f>Raw_Data!N216</f>
        <v>0</v>
      </c>
      <c r="H218">
        <f>Raw_Data!K216</f>
        <v>1</v>
      </c>
      <c r="I218">
        <f>Raw_Data!R216</f>
        <v>95</v>
      </c>
      <c r="J218">
        <f>Raw_Data!T216</f>
        <v>2.2999999999999998</v>
      </c>
      <c r="K218" s="14">
        <f>Raw_Data!O216</f>
        <v>46237</v>
      </c>
    </row>
    <row r="219" spans="1:11" x14ac:dyDescent="0.3">
      <c r="A219" t="str">
        <f>Raw_Data!E217</f>
        <v>Sakshi Joshi</v>
      </c>
      <c r="B219" t="str">
        <f>Raw_Data!B217</f>
        <v>Outgoing</v>
      </c>
      <c r="C219" t="str">
        <f>Raw_Data!H217</f>
        <v>busy</v>
      </c>
      <c r="D219">
        <f>Raw_Data!L217</f>
        <v>0</v>
      </c>
      <c r="E219">
        <f>Raw_Data!M217</f>
        <v>1</v>
      </c>
      <c r="F219">
        <f>Raw_Data!I217</f>
        <v>0</v>
      </c>
      <c r="G219">
        <f>Raw_Data!N217</f>
        <v>0</v>
      </c>
      <c r="H219">
        <f>Raw_Data!K217</f>
        <v>0</v>
      </c>
      <c r="I219">
        <f>Raw_Data!R217</f>
        <v>28</v>
      </c>
      <c r="J219">
        <f>Raw_Data!T217</f>
        <v>0</v>
      </c>
      <c r="K219" s="14">
        <f>Raw_Data!O217</f>
        <v>46236</v>
      </c>
    </row>
    <row r="220" spans="1:11" x14ac:dyDescent="0.3">
      <c r="A220" t="str">
        <f>Raw_Data!E218</f>
        <v>Deepak Yadav</v>
      </c>
      <c r="B220" t="str">
        <f>Raw_Data!B218</f>
        <v>Outgoing</v>
      </c>
      <c r="C220" t="str">
        <f>Raw_Data!H218</f>
        <v>no-answer</v>
      </c>
      <c r="D220">
        <f>Raw_Data!L218</f>
        <v>0</v>
      </c>
      <c r="E220">
        <f>Raw_Data!M218</f>
        <v>1</v>
      </c>
      <c r="F220">
        <f>Raw_Data!I218</f>
        <v>0</v>
      </c>
      <c r="G220">
        <f>Raw_Data!N218</f>
        <v>0</v>
      </c>
      <c r="H220">
        <f>Raw_Data!K218</f>
        <v>0</v>
      </c>
      <c r="I220">
        <f>Raw_Data!R218</f>
        <v>42</v>
      </c>
      <c r="J220">
        <f>Raw_Data!T218</f>
        <v>0.4</v>
      </c>
      <c r="K220" s="14">
        <f>Raw_Data!O218</f>
        <v>46237</v>
      </c>
    </row>
    <row r="221" spans="1:11" x14ac:dyDescent="0.3">
      <c r="A221" t="str">
        <f>Raw_Data!E219</f>
        <v>Varun Iyer</v>
      </c>
      <c r="B221" t="str">
        <f>Raw_Data!B219</f>
        <v>Outgoing</v>
      </c>
      <c r="C221" t="str">
        <f>Raw_Data!H219</f>
        <v>failed</v>
      </c>
      <c r="D221">
        <f>Raw_Data!L219</f>
        <v>0</v>
      </c>
      <c r="E221">
        <f>Raw_Data!M219</f>
        <v>1</v>
      </c>
      <c r="F221">
        <f>Raw_Data!I219</f>
        <v>0</v>
      </c>
      <c r="G221">
        <f>Raw_Data!N219</f>
        <v>0</v>
      </c>
      <c r="H221">
        <f>Raw_Data!K219</f>
        <v>0</v>
      </c>
      <c r="I221">
        <f>Raw_Data!R219</f>
        <v>30</v>
      </c>
      <c r="J221">
        <f>Raw_Data!T219</f>
        <v>0.4</v>
      </c>
      <c r="K221" s="14">
        <f>Raw_Data!O219</f>
        <v>46237</v>
      </c>
    </row>
    <row r="222" spans="1:11" x14ac:dyDescent="0.3">
      <c r="A222" t="str">
        <f>Raw_Data!E220</f>
        <v>Simran Kaur</v>
      </c>
      <c r="B222" t="str">
        <f>Raw_Data!B220</f>
        <v>Outgoing</v>
      </c>
      <c r="C222" t="str">
        <f>Raw_Data!H220</f>
        <v>failed</v>
      </c>
      <c r="D222">
        <f>Raw_Data!L220</f>
        <v>0</v>
      </c>
      <c r="E222">
        <f>Raw_Data!M220</f>
        <v>1</v>
      </c>
      <c r="F222">
        <f>Raw_Data!I220</f>
        <v>0</v>
      </c>
      <c r="G222">
        <f>Raw_Data!N220</f>
        <v>0</v>
      </c>
      <c r="H222">
        <f>Raw_Data!K220</f>
        <v>0</v>
      </c>
      <c r="I222">
        <f>Raw_Data!R220</f>
        <v>15</v>
      </c>
      <c r="J222">
        <f>Raw_Data!T220</f>
        <v>0.4</v>
      </c>
      <c r="K222" s="14">
        <f>Raw_Data!O220</f>
        <v>46237</v>
      </c>
    </row>
    <row r="223" spans="1:11" x14ac:dyDescent="0.3">
      <c r="A223" t="str">
        <f>Raw_Data!E221</f>
        <v>Nisha Verma</v>
      </c>
      <c r="B223" t="str">
        <f>Raw_Data!B221</f>
        <v>Outgoing</v>
      </c>
      <c r="C223" t="str">
        <f>Raw_Data!H221</f>
        <v>completed</v>
      </c>
      <c r="D223">
        <f>Raw_Data!L221</f>
        <v>0</v>
      </c>
      <c r="E223">
        <f>Raw_Data!M221</f>
        <v>1</v>
      </c>
      <c r="F223">
        <f>Raw_Data!I221</f>
        <v>1</v>
      </c>
      <c r="G223">
        <f>Raw_Data!N221</f>
        <v>0</v>
      </c>
      <c r="H223">
        <f>Raw_Data!K221</f>
        <v>1</v>
      </c>
      <c r="I223">
        <f>Raw_Data!R221</f>
        <v>30</v>
      </c>
      <c r="J223">
        <f>Raw_Data!T221</f>
        <v>0</v>
      </c>
      <c r="K223" s="14">
        <f>Raw_Data!O221</f>
        <v>46237</v>
      </c>
    </row>
    <row r="224" spans="1:11" x14ac:dyDescent="0.3">
      <c r="A224" t="str">
        <f>Raw_Data!E222</f>
        <v>Tanvi Reddy</v>
      </c>
      <c r="B224" t="str">
        <f>Raw_Data!B222</f>
        <v>Outgoing</v>
      </c>
      <c r="C224" t="str">
        <f>Raw_Data!H222</f>
        <v>completed</v>
      </c>
      <c r="D224">
        <f>Raw_Data!L222</f>
        <v>0</v>
      </c>
      <c r="E224">
        <f>Raw_Data!M222</f>
        <v>1</v>
      </c>
      <c r="F224">
        <f>Raw_Data!I222</f>
        <v>1</v>
      </c>
      <c r="G224">
        <f>Raw_Data!N222</f>
        <v>0</v>
      </c>
      <c r="H224">
        <f>Raw_Data!K222</f>
        <v>1</v>
      </c>
      <c r="I224">
        <f>Raw_Data!R222</f>
        <v>33</v>
      </c>
      <c r="J224">
        <f>Raw_Data!T222</f>
        <v>1.1499999999999999</v>
      </c>
      <c r="K224" s="14">
        <f>Raw_Data!O222</f>
        <v>46237</v>
      </c>
    </row>
    <row r="225" spans="1:11" x14ac:dyDescent="0.3">
      <c r="A225" t="str">
        <f>Raw_Data!E223</f>
        <v>Meera Joshi</v>
      </c>
      <c r="B225" t="str">
        <f>Raw_Data!B223</f>
        <v>Outgoing</v>
      </c>
      <c r="C225" t="str">
        <f>Raw_Data!H223</f>
        <v>failed</v>
      </c>
      <c r="D225">
        <f>Raw_Data!L223</f>
        <v>0</v>
      </c>
      <c r="E225">
        <f>Raw_Data!M223</f>
        <v>1</v>
      </c>
      <c r="F225">
        <f>Raw_Data!I223</f>
        <v>0</v>
      </c>
      <c r="G225">
        <f>Raw_Data!N223</f>
        <v>0</v>
      </c>
      <c r="H225">
        <f>Raw_Data!K223</f>
        <v>0</v>
      </c>
      <c r="I225">
        <f>Raw_Data!R223</f>
        <v>22</v>
      </c>
      <c r="J225">
        <f>Raw_Data!T223</f>
        <v>0.4</v>
      </c>
      <c r="K225" s="14">
        <f>Raw_Data!O223</f>
        <v>46236</v>
      </c>
    </row>
    <row r="226" spans="1:11" x14ac:dyDescent="0.3">
      <c r="A226" t="str">
        <f>Raw_Data!E224</f>
        <v>Nikhil Kapoor</v>
      </c>
      <c r="B226" t="str">
        <f>Raw_Data!B224</f>
        <v>Outgoing</v>
      </c>
      <c r="C226" t="str">
        <f>Raw_Data!H224</f>
        <v>failed</v>
      </c>
      <c r="D226">
        <f>Raw_Data!L224</f>
        <v>0</v>
      </c>
      <c r="E226">
        <f>Raw_Data!M224</f>
        <v>1</v>
      </c>
      <c r="F226">
        <f>Raw_Data!I224</f>
        <v>0</v>
      </c>
      <c r="G226">
        <f>Raw_Data!N224</f>
        <v>0</v>
      </c>
      <c r="H226">
        <f>Raw_Data!K224</f>
        <v>0</v>
      </c>
      <c r="I226">
        <f>Raw_Data!R224</f>
        <v>22</v>
      </c>
      <c r="J226">
        <f>Raw_Data!T224</f>
        <v>0.4</v>
      </c>
      <c r="K226" s="14">
        <f>Raw_Data!O224</f>
        <v>46237</v>
      </c>
    </row>
    <row r="227" spans="1:11" x14ac:dyDescent="0.3">
      <c r="A227" t="str">
        <f>Raw_Data!E225</f>
        <v>Pooja Shah</v>
      </c>
      <c r="B227" t="str">
        <f>Raw_Data!B225</f>
        <v>Outgoing</v>
      </c>
      <c r="C227" t="str">
        <f>Raw_Data!H225</f>
        <v>completed</v>
      </c>
      <c r="D227">
        <f>Raw_Data!L225</f>
        <v>0</v>
      </c>
      <c r="E227">
        <f>Raw_Data!M225</f>
        <v>1</v>
      </c>
      <c r="F227">
        <f>Raw_Data!I225</f>
        <v>1</v>
      </c>
      <c r="G227">
        <f>Raw_Data!N225</f>
        <v>0</v>
      </c>
      <c r="H227">
        <f>Raw_Data!K225</f>
        <v>1</v>
      </c>
      <c r="I227">
        <f>Raw_Data!R225</f>
        <v>115</v>
      </c>
      <c r="J227">
        <f>Raw_Data!T225</f>
        <v>1.6</v>
      </c>
      <c r="K227" s="14">
        <f>Raw_Data!O225</f>
        <v>46237</v>
      </c>
    </row>
    <row r="228" spans="1:11" x14ac:dyDescent="0.3">
      <c r="A228" t="str">
        <f>Raw_Data!E226</f>
        <v>Shreya Iyer</v>
      </c>
      <c r="B228" t="str">
        <f>Raw_Data!B226</f>
        <v>Outgoing</v>
      </c>
      <c r="C228" t="str">
        <f>Raw_Data!H226</f>
        <v>failed</v>
      </c>
      <c r="D228">
        <f>Raw_Data!L226</f>
        <v>0</v>
      </c>
      <c r="E228">
        <f>Raw_Data!M226</f>
        <v>1</v>
      </c>
      <c r="F228">
        <f>Raw_Data!I226</f>
        <v>0</v>
      </c>
      <c r="G228">
        <f>Raw_Data!N226</f>
        <v>0</v>
      </c>
      <c r="H228">
        <f>Raw_Data!K226</f>
        <v>0</v>
      </c>
      <c r="I228">
        <f>Raw_Data!R226</f>
        <v>20</v>
      </c>
      <c r="J228">
        <f>Raw_Data!T226</f>
        <v>0.4</v>
      </c>
      <c r="K228" s="14">
        <f>Raw_Data!O226</f>
        <v>46237</v>
      </c>
    </row>
    <row r="229" spans="1:11" x14ac:dyDescent="0.3">
      <c r="A229" t="str">
        <f>Raw_Data!E227</f>
        <v>Pallavi Rao</v>
      </c>
      <c r="B229" t="str">
        <f>Raw_Data!B227</f>
        <v>Outgoing</v>
      </c>
      <c r="C229" t="str">
        <f>Raw_Data!H227</f>
        <v>completed</v>
      </c>
      <c r="D229">
        <f>Raw_Data!L227</f>
        <v>0</v>
      </c>
      <c r="E229">
        <f>Raw_Data!M227</f>
        <v>1</v>
      </c>
      <c r="F229">
        <f>Raw_Data!I227</f>
        <v>1</v>
      </c>
      <c r="G229">
        <f>Raw_Data!N227</f>
        <v>0</v>
      </c>
      <c r="H229">
        <f>Raw_Data!K227</f>
        <v>1</v>
      </c>
      <c r="I229">
        <f>Raw_Data!R227</f>
        <v>38</v>
      </c>
      <c r="J229">
        <f>Raw_Data!T227</f>
        <v>1.1499999999999999</v>
      </c>
      <c r="K229" s="14">
        <f>Raw_Data!O227</f>
        <v>46237</v>
      </c>
    </row>
    <row r="230" spans="1:11" x14ac:dyDescent="0.3">
      <c r="A230" t="str">
        <f>Raw_Data!E228</f>
        <v>Nisha Verma</v>
      </c>
      <c r="B230" t="str">
        <f>Raw_Data!B228</f>
        <v>Outgoing</v>
      </c>
      <c r="C230" t="str">
        <f>Raw_Data!H228</f>
        <v>completed</v>
      </c>
      <c r="D230">
        <f>Raw_Data!L228</f>
        <v>0</v>
      </c>
      <c r="E230">
        <f>Raw_Data!M228</f>
        <v>1</v>
      </c>
      <c r="F230">
        <f>Raw_Data!I228</f>
        <v>1</v>
      </c>
      <c r="G230">
        <f>Raw_Data!N228</f>
        <v>0</v>
      </c>
      <c r="H230">
        <f>Raw_Data!K228</f>
        <v>1</v>
      </c>
      <c r="I230">
        <f>Raw_Data!R228</f>
        <v>65</v>
      </c>
      <c r="J230">
        <f>Raw_Data!T228</f>
        <v>1.1499999999999999</v>
      </c>
      <c r="K230" s="14">
        <f>Raw_Data!O228</f>
        <v>46237</v>
      </c>
    </row>
    <row r="231" spans="1:11" x14ac:dyDescent="0.3">
      <c r="A231" t="str">
        <f>Raw_Data!E229</f>
        <v>Priya Nair</v>
      </c>
      <c r="B231" t="str">
        <f>Raw_Data!B229</f>
        <v>Outgoing</v>
      </c>
      <c r="C231" t="str">
        <f>Raw_Data!H229</f>
        <v>failed</v>
      </c>
      <c r="D231">
        <f>Raw_Data!L229</f>
        <v>0</v>
      </c>
      <c r="E231">
        <f>Raw_Data!M229</f>
        <v>1</v>
      </c>
      <c r="F231">
        <f>Raw_Data!I229</f>
        <v>0</v>
      </c>
      <c r="G231">
        <f>Raw_Data!N229</f>
        <v>0</v>
      </c>
      <c r="H231">
        <f>Raw_Data!K229</f>
        <v>0</v>
      </c>
      <c r="I231">
        <f>Raw_Data!R229</f>
        <v>19</v>
      </c>
      <c r="J231">
        <f>Raw_Data!T229</f>
        <v>0.4</v>
      </c>
      <c r="K231" s="14">
        <f>Raw_Data!O229</f>
        <v>46237</v>
      </c>
    </row>
    <row r="232" spans="1:11" x14ac:dyDescent="0.3">
      <c r="A232" t="str">
        <f>Raw_Data!E230</f>
        <v>Nandini Das</v>
      </c>
      <c r="B232" t="str">
        <f>Raw_Data!B230</f>
        <v>Outgoing</v>
      </c>
      <c r="C232" t="str">
        <f>Raw_Data!H230</f>
        <v>completed</v>
      </c>
      <c r="D232">
        <f>Raw_Data!L230</f>
        <v>0</v>
      </c>
      <c r="E232">
        <f>Raw_Data!M230</f>
        <v>1</v>
      </c>
      <c r="F232">
        <f>Raw_Data!I230</f>
        <v>1</v>
      </c>
      <c r="G232">
        <f>Raw_Data!N230</f>
        <v>0</v>
      </c>
      <c r="H232">
        <f>Raw_Data!K230</f>
        <v>1</v>
      </c>
      <c r="I232">
        <f>Raw_Data!R230</f>
        <v>174</v>
      </c>
      <c r="J232">
        <f>Raw_Data!T230</f>
        <v>2.4</v>
      </c>
      <c r="K232" s="14">
        <f>Raw_Data!O230</f>
        <v>46237</v>
      </c>
    </row>
    <row r="233" spans="1:11" x14ac:dyDescent="0.3">
      <c r="A233" t="str">
        <f>Raw_Data!E231</f>
        <v>Anjali Menon</v>
      </c>
      <c r="B233" t="str">
        <f>Raw_Data!B231</f>
        <v>Outgoing</v>
      </c>
      <c r="C233" t="str">
        <f>Raw_Data!H231</f>
        <v>completed</v>
      </c>
      <c r="D233">
        <f>Raw_Data!L231</f>
        <v>0</v>
      </c>
      <c r="E233">
        <f>Raw_Data!M231</f>
        <v>1</v>
      </c>
      <c r="F233">
        <f>Raw_Data!I231</f>
        <v>1</v>
      </c>
      <c r="G233">
        <f>Raw_Data!N231</f>
        <v>0</v>
      </c>
      <c r="H233">
        <f>Raw_Data!K231</f>
        <v>1</v>
      </c>
      <c r="I233">
        <f>Raw_Data!R231</f>
        <v>60</v>
      </c>
      <c r="J233">
        <f>Raw_Data!T231</f>
        <v>1.1499999999999999</v>
      </c>
      <c r="K233" s="14">
        <f>Raw_Data!O231</f>
        <v>46237</v>
      </c>
    </row>
    <row r="234" spans="1:11" x14ac:dyDescent="0.3">
      <c r="A234" t="str">
        <f>Raw_Data!E232</f>
        <v>Tanvi Reddy</v>
      </c>
      <c r="B234" t="str">
        <f>Raw_Data!B232</f>
        <v>Outgoing</v>
      </c>
      <c r="C234" t="str">
        <f>Raw_Data!H232</f>
        <v>no-answer</v>
      </c>
      <c r="D234">
        <f>Raw_Data!L232</f>
        <v>0</v>
      </c>
      <c r="E234">
        <f>Raw_Data!M232</f>
        <v>1</v>
      </c>
      <c r="F234">
        <f>Raw_Data!I232</f>
        <v>0</v>
      </c>
      <c r="G234">
        <f>Raw_Data!N232</f>
        <v>0</v>
      </c>
      <c r="H234">
        <f>Raw_Data!K232</f>
        <v>0</v>
      </c>
      <c r="I234">
        <f>Raw_Data!R232</f>
        <v>48</v>
      </c>
      <c r="J234">
        <f>Raw_Data!T232</f>
        <v>0.4</v>
      </c>
      <c r="K234" s="14">
        <f>Raw_Data!O232</f>
        <v>46237</v>
      </c>
    </row>
    <row r="235" spans="1:11" x14ac:dyDescent="0.3">
      <c r="A235" t="str">
        <f>Raw_Data!E233</f>
        <v>Ishita Kapoor</v>
      </c>
      <c r="B235" t="str">
        <f>Raw_Data!B233</f>
        <v>Outgoing</v>
      </c>
      <c r="C235" t="str">
        <f>Raw_Data!H233</f>
        <v>completed</v>
      </c>
      <c r="D235">
        <f>Raw_Data!L233</f>
        <v>0</v>
      </c>
      <c r="E235">
        <f>Raw_Data!M233</f>
        <v>1</v>
      </c>
      <c r="F235">
        <f>Raw_Data!I233</f>
        <v>1</v>
      </c>
      <c r="G235">
        <f>Raw_Data!N233</f>
        <v>0</v>
      </c>
      <c r="H235">
        <f>Raw_Data!K233</f>
        <v>1</v>
      </c>
      <c r="I235">
        <f>Raw_Data!R233</f>
        <v>35</v>
      </c>
      <c r="J235">
        <f>Raw_Data!T233</f>
        <v>0.8</v>
      </c>
      <c r="K235" s="14">
        <f>Raw_Data!O233</f>
        <v>46237</v>
      </c>
    </row>
    <row r="236" spans="1:11" x14ac:dyDescent="0.3">
      <c r="A236" t="str">
        <f>Raw_Data!E234</f>
        <v>Karan Malhotra</v>
      </c>
      <c r="B236" t="str">
        <f>Raw_Data!B234</f>
        <v>Outgoing</v>
      </c>
      <c r="C236" t="str">
        <f>Raw_Data!H234</f>
        <v>no-answer</v>
      </c>
      <c r="D236">
        <f>Raw_Data!L234</f>
        <v>0</v>
      </c>
      <c r="E236">
        <f>Raw_Data!M234</f>
        <v>1</v>
      </c>
      <c r="F236">
        <f>Raw_Data!I234</f>
        <v>0</v>
      </c>
      <c r="G236">
        <f>Raw_Data!N234</f>
        <v>0</v>
      </c>
      <c r="H236">
        <f>Raw_Data!K234</f>
        <v>0</v>
      </c>
      <c r="I236">
        <f>Raw_Data!R234</f>
        <v>42</v>
      </c>
      <c r="J236">
        <f>Raw_Data!T234</f>
        <v>0.4</v>
      </c>
      <c r="K236" s="14">
        <f>Raw_Data!O234</f>
        <v>46237</v>
      </c>
    </row>
    <row r="237" spans="1:11" x14ac:dyDescent="0.3">
      <c r="A237" t="str">
        <f>Raw_Data!E235</f>
        <v>Vikram Patel</v>
      </c>
      <c r="B237" t="str">
        <f>Raw_Data!B235</f>
        <v>Outgoing</v>
      </c>
      <c r="C237" t="str">
        <f>Raw_Data!H235</f>
        <v>completed</v>
      </c>
      <c r="D237">
        <f>Raw_Data!L235</f>
        <v>0</v>
      </c>
      <c r="E237">
        <f>Raw_Data!M235</f>
        <v>1</v>
      </c>
      <c r="F237">
        <f>Raw_Data!I235</f>
        <v>1</v>
      </c>
      <c r="G237">
        <f>Raw_Data!N235</f>
        <v>0</v>
      </c>
      <c r="H237">
        <f>Raw_Data!K235</f>
        <v>1</v>
      </c>
      <c r="I237">
        <f>Raw_Data!R235</f>
        <v>95</v>
      </c>
      <c r="J237">
        <f>Raw_Data!T235</f>
        <v>2.2999999999999998</v>
      </c>
      <c r="K237" s="14">
        <f>Raw_Data!O235</f>
        <v>46237</v>
      </c>
    </row>
    <row r="238" spans="1:11" x14ac:dyDescent="0.3">
      <c r="A238" t="str">
        <f>Raw_Data!E236</f>
        <v>Neha Gupta</v>
      </c>
      <c r="B238" t="str">
        <f>Raw_Data!B236</f>
        <v>Outgoing</v>
      </c>
      <c r="C238" t="str">
        <f>Raw_Data!H236</f>
        <v>no-answer</v>
      </c>
      <c r="D238">
        <f>Raw_Data!L236</f>
        <v>0</v>
      </c>
      <c r="E238">
        <f>Raw_Data!M236</f>
        <v>1</v>
      </c>
      <c r="F238">
        <f>Raw_Data!I236</f>
        <v>0</v>
      </c>
      <c r="G238">
        <f>Raw_Data!N236</f>
        <v>0</v>
      </c>
      <c r="H238">
        <f>Raw_Data!K236</f>
        <v>0</v>
      </c>
      <c r="I238">
        <f>Raw_Data!R236</f>
        <v>43</v>
      </c>
      <c r="J238">
        <f>Raw_Data!T236</f>
        <v>0.4</v>
      </c>
      <c r="K238" s="14">
        <f>Raw_Data!O236</f>
        <v>46237</v>
      </c>
    </row>
    <row r="239" spans="1:11" x14ac:dyDescent="0.3">
      <c r="A239" t="str">
        <f>Raw_Data!E237</f>
        <v>Simran Kaur</v>
      </c>
      <c r="B239" t="str">
        <f>Raw_Data!B237</f>
        <v>Outgoing</v>
      </c>
      <c r="C239" t="str">
        <f>Raw_Data!H237</f>
        <v>completed</v>
      </c>
      <c r="D239">
        <f>Raw_Data!L237</f>
        <v>0</v>
      </c>
      <c r="E239">
        <f>Raw_Data!M237</f>
        <v>1</v>
      </c>
      <c r="F239">
        <f>Raw_Data!I237</f>
        <v>1</v>
      </c>
      <c r="G239">
        <f>Raw_Data!N237</f>
        <v>0</v>
      </c>
      <c r="H239">
        <f>Raw_Data!K237</f>
        <v>1</v>
      </c>
      <c r="I239">
        <f>Raw_Data!R237</f>
        <v>102</v>
      </c>
      <c r="J239">
        <f>Raw_Data!T237</f>
        <v>2.2999999999999998</v>
      </c>
      <c r="K239" s="14">
        <f>Raw_Data!O237</f>
        <v>46237</v>
      </c>
    </row>
    <row r="240" spans="1:11" x14ac:dyDescent="0.3">
      <c r="A240" t="str">
        <f>Raw_Data!E238</f>
        <v>Aditya Rao</v>
      </c>
      <c r="B240" t="str">
        <f>Raw_Data!B238</f>
        <v>Outgoing</v>
      </c>
      <c r="C240" t="str">
        <f>Raw_Data!H238</f>
        <v>failed</v>
      </c>
      <c r="D240">
        <f>Raw_Data!L238</f>
        <v>0</v>
      </c>
      <c r="E240">
        <f>Raw_Data!M238</f>
        <v>1</v>
      </c>
      <c r="F240">
        <f>Raw_Data!I238</f>
        <v>0</v>
      </c>
      <c r="G240">
        <f>Raw_Data!N238</f>
        <v>0</v>
      </c>
      <c r="H240">
        <f>Raw_Data!K238</f>
        <v>0</v>
      </c>
      <c r="I240">
        <f>Raw_Data!R238</f>
        <v>30</v>
      </c>
      <c r="J240">
        <f>Raw_Data!T238</f>
        <v>0.4</v>
      </c>
      <c r="K240" s="14">
        <f>Raw_Data!O238</f>
        <v>46237</v>
      </c>
    </row>
    <row r="241" spans="1:11" x14ac:dyDescent="0.3">
      <c r="A241" t="str">
        <f>Raw_Data!E239</f>
        <v>Tanvi Reddy</v>
      </c>
      <c r="B241" t="str">
        <f>Raw_Data!B239</f>
        <v>Outgoing</v>
      </c>
      <c r="C241" t="str">
        <f>Raw_Data!H239</f>
        <v>no-answer</v>
      </c>
      <c r="D241">
        <f>Raw_Data!L239</f>
        <v>0</v>
      </c>
      <c r="E241">
        <f>Raw_Data!M239</f>
        <v>1</v>
      </c>
      <c r="F241">
        <f>Raw_Data!I239</f>
        <v>0</v>
      </c>
      <c r="G241">
        <f>Raw_Data!N239</f>
        <v>0</v>
      </c>
      <c r="H241">
        <f>Raw_Data!K239</f>
        <v>0</v>
      </c>
      <c r="I241">
        <f>Raw_Data!R239</f>
        <v>43</v>
      </c>
      <c r="J241">
        <f>Raw_Data!T239</f>
        <v>0.4</v>
      </c>
      <c r="K241" s="14">
        <f>Raw_Data!O239</f>
        <v>46237</v>
      </c>
    </row>
    <row r="242" spans="1:11" x14ac:dyDescent="0.3">
      <c r="A242" t="str">
        <f>Raw_Data!E240</f>
        <v>Akash Singh</v>
      </c>
      <c r="B242" t="str">
        <f>Raw_Data!B240</f>
        <v>Outgoing</v>
      </c>
      <c r="C242" t="str">
        <f>Raw_Data!H240</f>
        <v>failed</v>
      </c>
      <c r="D242">
        <f>Raw_Data!L240</f>
        <v>0</v>
      </c>
      <c r="E242">
        <f>Raw_Data!M240</f>
        <v>1</v>
      </c>
      <c r="F242">
        <f>Raw_Data!I240</f>
        <v>0</v>
      </c>
      <c r="G242">
        <f>Raw_Data!N240</f>
        <v>0</v>
      </c>
      <c r="H242">
        <f>Raw_Data!K240</f>
        <v>0</v>
      </c>
      <c r="I242">
        <f>Raw_Data!R240</f>
        <v>27</v>
      </c>
      <c r="J242">
        <f>Raw_Data!T240</f>
        <v>0.4</v>
      </c>
      <c r="K242" s="14">
        <f>Raw_Data!O240</f>
        <v>46237</v>
      </c>
    </row>
    <row r="243" spans="1:11" x14ac:dyDescent="0.3">
      <c r="A243" t="str">
        <f>Raw_Data!E241</f>
        <v>Arjun Nair</v>
      </c>
      <c r="B243" t="str">
        <f>Raw_Data!B241</f>
        <v>Outgoing</v>
      </c>
      <c r="C243" t="str">
        <f>Raw_Data!H241</f>
        <v>failed</v>
      </c>
      <c r="D243">
        <f>Raw_Data!L241</f>
        <v>0</v>
      </c>
      <c r="E243">
        <f>Raw_Data!M241</f>
        <v>1</v>
      </c>
      <c r="F243">
        <f>Raw_Data!I241</f>
        <v>0</v>
      </c>
      <c r="G243">
        <f>Raw_Data!N241</f>
        <v>0</v>
      </c>
      <c r="H243">
        <f>Raw_Data!K241</f>
        <v>0</v>
      </c>
      <c r="I243">
        <f>Raw_Data!R241</f>
        <v>34</v>
      </c>
      <c r="J243">
        <f>Raw_Data!T241</f>
        <v>0.4</v>
      </c>
      <c r="K243" s="14">
        <f>Raw_Data!O241</f>
        <v>46237</v>
      </c>
    </row>
    <row r="244" spans="1:11" x14ac:dyDescent="0.3">
      <c r="A244" t="str">
        <f>Raw_Data!E242</f>
        <v>Ishita Kapoor</v>
      </c>
      <c r="B244" t="str">
        <f>Raw_Data!B242</f>
        <v>Outgoing</v>
      </c>
      <c r="C244" t="str">
        <f>Raw_Data!H242</f>
        <v>completed</v>
      </c>
      <c r="D244">
        <f>Raw_Data!L242</f>
        <v>0</v>
      </c>
      <c r="E244">
        <f>Raw_Data!M242</f>
        <v>1</v>
      </c>
      <c r="F244">
        <f>Raw_Data!I242</f>
        <v>1</v>
      </c>
      <c r="G244">
        <f>Raw_Data!N242</f>
        <v>0</v>
      </c>
      <c r="H244">
        <f>Raw_Data!K242</f>
        <v>1</v>
      </c>
      <c r="I244">
        <f>Raw_Data!R242</f>
        <v>130</v>
      </c>
      <c r="J244">
        <f>Raw_Data!T242</f>
        <v>2.7</v>
      </c>
      <c r="K244" s="14">
        <f>Raw_Data!O242</f>
        <v>46237</v>
      </c>
    </row>
    <row r="245" spans="1:11" x14ac:dyDescent="0.3">
      <c r="A245" t="str">
        <f>Raw_Data!E243</f>
        <v>Rohit Das</v>
      </c>
      <c r="B245" t="str">
        <f>Raw_Data!B243</f>
        <v>Outgoing</v>
      </c>
      <c r="C245" t="str">
        <f>Raw_Data!H243</f>
        <v>failed</v>
      </c>
      <c r="D245">
        <f>Raw_Data!L243</f>
        <v>0</v>
      </c>
      <c r="E245">
        <f>Raw_Data!M243</f>
        <v>1</v>
      </c>
      <c r="F245">
        <f>Raw_Data!I243</f>
        <v>0</v>
      </c>
      <c r="G245">
        <f>Raw_Data!N243</f>
        <v>0</v>
      </c>
      <c r="H245">
        <f>Raw_Data!K243</f>
        <v>0</v>
      </c>
      <c r="I245">
        <f>Raw_Data!R243</f>
        <v>31</v>
      </c>
      <c r="J245">
        <f>Raw_Data!T243</f>
        <v>0.4</v>
      </c>
      <c r="K245" s="14">
        <f>Raw_Data!O243</f>
        <v>46237</v>
      </c>
    </row>
    <row r="246" spans="1:11" x14ac:dyDescent="0.3">
      <c r="A246" t="str">
        <f>Raw_Data!E244</f>
        <v>Aarav Sharma</v>
      </c>
      <c r="B246" t="str">
        <f>Raw_Data!B244</f>
        <v>Outgoing</v>
      </c>
      <c r="C246" t="str">
        <f>Raw_Data!H244</f>
        <v>failed</v>
      </c>
      <c r="D246">
        <f>Raw_Data!L244</f>
        <v>0</v>
      </c>
      <c r="E246">
        <f>Raw_Data!M244</f>
        <v>1</v>
      </c>
      <c r="F246">
        <f>Raw_Data!I244</f>
        <v>0</v>
      </c>
      <c r="G246">
        <f>Raw_Data!N244</f>
        <v>0</v>
      </c>
      <c r="H246">
        <f>Raw_Data!K244</f>
        <v>0</v>
      </c>
      <c r="I246">
        <f>Raw_Data!R244</f>
        <v>33</v>
      </c>
      <c r="J246">
        <f>Raw_Data!T244</f>
        <v>0.4</v>
      </c>
      <c r="K246" s="14">
        <f>Raw_Data!O244</f>
        <v>46237</v>
      </c>
    </row>
    <row r="247" spans="1:11" x14ac:dyDescent="0.3">
      <c r="A247" t="str">
        <f>Raw_Data!E245</f>
        <v>Gaurav Mishra</v>
      </c>
      <c r="B247" t="str">
        <f>Raw_Data!B245</f>
        <v>Outgoing</v>
      </c>
      <c r="C247" t="str">
        <f>Raw_Data!H245</f>
        <v>completed</v>
      </c>
      <c r="D247">
        <f>Raw_Data!L245</f>
        <v>0</v>
      </c>
      <c r="E247">
        <f>Raw_Data!M245</f>
        <v>1</v>
      </c>
      <c r="F247">
        <f>Raw_Data!I245</f>
        <v>1</v>
      </c>
      <c r="G247">
        <f>Raw_Data!N245</f>
        <v>0</v>
      </c>
      <c r="H247">
        <f>Raw_Data!K245</f>
        <v>1</v>
      </c>
      <c r="I247">
        <f>Raw_Data!R245</f>
        <v>232</v>
      </c>
      <c r="J247">
        <f>Raw_Data!T245</f>
        <v>4.5999999999999996</v>
      </c>
      <c r="K247" s="14">
        <f>Raw_Data!O245</f>
        <v>46237</v>
      </c>
    </row>
    <row r="248" spans="1:11" x14ac:dyDescent="0.3">
      <c r="A248" t="str">
        <f>Raw_Data!E246</f>
        <v>Karan Malhotra</v>
      </c>
      <c r="B248" t="str">
        <f>Raw_Data!B246</f>
        <v>Outgoing</v>
      </c>
      <c r="C248" t="str">
        <f>Raw_Data!H246</f>
        <v>completed</v>
      </c>
      <c r="D248">
        <f>Raw_Data!L246</f>
        <v>0</v>
      </c>
      <c r="E248">
        <f>Raw_Data!M246</f>
        <v>1</v>
      </c>
      <c r="F248">
        <f>Raw_Data!I246</f>
        <v>1</v>
      </c>
      <c r="G248">
        <f>Raw_Data!N246</f>
        <v>0</v>
      </c>
      <c r="H248">
        <f>Raw_Data!K246</f>
        <v>1</v>
      </c>
      <c r="I248">
        <f>Raw_Data!R246</f>
        <v>71</v>
      </c>
      <c r="J248">
        <f>Raw_Data!T246</f>
        <v>1.2</v>
      </c>
      <c r="K248" s="14">
        <f>Raw_Data!O246</f>
        <v>46236</v>
      </c>
    </row>
    <row r="249" spans="1:11" x14ac:dyDescent="0.3">
      <c r="A249" t="str">
        <f>Raw_Data!E247</f>
        <v>Vivek Gupta</v>
      </c>
      <c r="B249" t="str">
        <f>Raw_Data!B247</f>
        <v>Outgoing</v>
      </c>
      <c r="C249" t="str">
        <f>Raw_Data!H247</f>
        <v>completed</v>
      </c>
      <c r="D249">
        <f>Raw_Data!L247</f>
        <v>0</v>
      </c>
      <c r="E249">
        <f>Raw_Data!M247</f>
        <v>1</v>
      </c>
      <c r="F249">
        <f>Raw_Data!I247</f>
        <v>1</v>
      </c>
      <c r="G249">
        <f>Raw_Data!N247</f>
        <v>0</v>
      </c>
      <c r="H249">
        <f>Raw_Data!K247</f>
        <v>1</v>
      </c>
      <c r="I249">
        <f>Raw_Data!R247</f>
        <v>21</v>
      </c>
      <c r="J249">
        <f>Raw_Data!T247</f>
        <v>1.1499999999999999</v>
      </c>
      <c r="K249" s="14">
        <f>Raw_Data!O247</f>
        <v>46237</v>
      </c>
    </row>
    <row r="250" spans="1:11" x14ac:dyDescent="0.3">
      <c r="A250" t="str">
        <f>Raw_Data!E248</f>
        <v>Arjun Nair</v>
      </c>
      <c r="B250" t="str">
        <f>Raw_Data!B248</f>
        <v>Outgoing</v>
      </c>
      <c r="C250" t="str">
        <f>Raw_Data!H248</f>
        <v>failed</v>
      </c>
      <c r="D250">
        <f>Raw_Data!L248</f>
        <v>0</v>
      </c>
      <c r="E250">
        <f>Raw_Data!M248</f>
        <v>1</v>
      </c>
      <c r="F250">
        <f>Raw_Data!I248</f>
        <v>0</v>
      </c>
      <c r="G250">
        <f>Raw_Data!N248</f>
        <v>0</v>
      </c>
      <c r="H250">
        <f>Raw_Data!K248</f>
        <v>0</v>
      </c>
      <c r="I250">
        <f>Raw_Data!R248</f>
        <v>19</v>
      </c>
      <c r="J250">
        <f>Raw_Data!T248</f>
        <v>0.4</v>
      </c>
      <c r="K250" s="14">
        <f>Raw_Data!O248</f>
        <v>46237</v>
      </c>
    </row>
    <row r="251" spans="1:11" x14ac:dyDescent="0.3">
      <c r="A251" t="str">
        <f>Raw_Data!E249</f>
        <v>Aarav Sharma</v>
      </c>
      <c r="B251" t="str">
        <f>Raw_Data!B249</f>
        <v>Outgoing</v>
      </c>
      <c r="C251" t="str">
        <f>Raw_Data!H249</f>
        <v>no-answer</v>
      </c>
      <c r="D251">
        <f>Raw_Data!L249</f>
        <v>0</v>
      </c>
      <c r="E251">
        <f>Raw_Data!M249</f>
        <v>1</v>
      </c>
      <c r="F251">
        <f>Raw_Data!I249</f>
        <v>0</v>
      </c>
      <c r="G251">
        <f>Raw_Data!N249</f>
        <v>0</v>
      </c>
      <c r="H251">
        <f>Raw_Data!K249</f>
        <v>0</v>
      </c>
      <c r="I251">
        <f>Raw_Data!R249</f>
        <v>44</v>
      </c>
      <c r="J251">
        <f>Raw_Data!T249</f>
        <v>0.4</v>
      </c>
      <c r="K251" s="14">
        <f>Raw_Data!O249</f>
        <v>46237</v>
      </c>
    </row>
    <row r="252" spans="1:11" x14ac:dyDescent="0.3">
      <c r="A252" t="str">
        <f>Raw_Data!E250</f>
        <v>Divya Rao</v>
      </c>
      <c r="B252" t="str">
        <f>Raw_Data!B250</f>
        <v>Outgoing</v>
      </c>
      <c r="C252" t="str">
        <f>Raw_Data!H250</f>
        <v>completed</v>
      </c>
      <c r="D252">
        <f>Raw_Data!L250</f>
        <v>0</v>
      </c>
      <c r="E252">
        <f>Raw_Data!M250</f>
        <v>1</v>
      </c>
      <c r="F252">
        <f>Raw_Data!I250</f>
        <v>1</v>
      </c>
      <c r="G252">
        <f>Raw_Data!N250</f>
        <v>0</v>
      </c>
      <c r="H252">
        <f>Raw_Data!K250</f>
        <v>1</v>
      </c>
      <c r="I252">
        <f>Raw_Data!R250</f>
        <v>65</v>
      </c>
      <c r="J252">
        <f>Raw_Data!T250</f>
        <v>1.55</v>
      </c>
      <c r="K252" s="14">
        <f>Raw_Data!O250</f>
        <v>46237</v>
      </c>
    </row>
    <row r="253" spans="1:11" x14ac:dyDescent="0.3">
      <c r="A253" t="str">
        <f>Raw_Data!E251</f>
        <v>Kriti Singh</v>
      </c>
      <c r="B253" t="str">
        <f>Raw_Data!B251</f>
        <v>Outgoing</v>
      </c>
      <c r="C253" t="str">
        <f>Raw_Data!H251</f>
        <v>completed</v>
      </c>
      <c r="D253">
        <f>Raw_Data!L251</f>
        <v>0</v>
      </c>
      <c r="E253">
        <f>Raw_Data!M251</f>
        <v>1</v>
      </c>
      <c r="F253">
        <f>Raw_Data!I251</f>
        <v>1</v>
      </c>
      <c r="G253">
        <f>Raw_Data!N251</f>
        <v>0</v>
      </c>
      <c r="H253">
        <f>Raw_Data!K251</f>
        <v>1</v>
      </c>
      <c r="I253">
        <f>Raw_Data!R251</f>
        <v>53</v>
      </c>
      <c r="J253">
        <f>Raw_Data!T251</f>
        <v>1.1499999999999999</v>
      </c>
      <c r="K253" s="14">
        <f>Raw_Data!O251</f>
        <v>46237</v>
      </c>
    </row>
    <row r="254" spans="1:11" x14ac:dyDescent="0.3">
      <c r="A254" t="str">
        <f>Raw_Data!E252</f>
        <v>Anjali Menon</v>
      </c>
      <c r="B254" t="str">
        <f>Raw_Data!B252</f>
        <v>Outgoing</v>
      </c>
      <c r="C254" t="str">
        <f>Raw_Data!H252</f>
        <v>no-answer</v>
      </c>
      <c r="D254">
        <f>Raw_Data!L252</f>
        <v>0</v>
      </c>
      <c r="E254">
        <f>Raw_Data!M252</f>
        <v>1</v>
      </c>
      <c r="F254">
        <f>Raw_Data!I252</f>
        <v>0</v>
      </c>
      <c r="G254">
        <f>Raw_Data!N252</f>
        <v>0</v>
      </c>
      <c r="H254">
        <f>Raw_Data!K252</f>
        <v>0</v>
      </c>
      <c r="I254">
        <f>Raw_Data!R252</f>
        <v>40</v>
      </c>
      <c r="J254">
        <f>Raw_Data!T252</f>
        <v>0.4</v>
      </c>
      <c r="K254" s="14">
        <f>Raw_Data!O252</f>
        <v>46237</v>
      </c>
    </row>
    <row r="255" spans="1:11" x14ac:dyDescent="0.3">
      <c r="A255" t="str">
        <f>Raw_Data!E253</f>
        <v>Gaurav Mishra</v>
      </c>
      <c r="B255" t="str">
        <f>Raw_Data!B253</f>
        <v>Outgoing</v>
      </c>
      <c r="C255" t="str">
        <f>Raw_Data!H253</f>
        <v>no-answer</v>
      </c>
      <c r="D255">
        <f>Raw_Data!L253</f>
        <v>0</v>
      </c>
      <c r="E255">
        <f>Raw_Data!M253</f>
        <v>1</v>
      </c>
      <c r="F255">
        <f>Raw_Data!I253</f>
        <v>0</v>
      </c>
      <c r="G255">
        <f>Raw_Data!N253</f>
        <v>0</v>
      </c>
      <c r="H255">
        <f>Raw_Data!K253</f>
        <v>0</v>
      </c>
      <c r="I255">
        <f>Raw_Data!R253</f>
        <v>42</v>
      </c>
      <c r="J255">
        <f>Raw_Data!T253</f>
        <v>0.4</v>
      </c>
      <c r="K255" s="14">
        <f>Raw_Data!O253</f>
        <v>46237</v>
      </c>
    </row>
    <row r="256" spans="1:11" x14ac:dyDescent="0.3">
      <c r="A256" t="str">
        <f>Raw_Data!E254</f>
        <v>Abhishek Jain</v>
      </c>
      <c r="B256" t="str">
        <f>Raw_Data!B254</f>
        <v>Outgoing</v>
      </c>
      <c r="C256" t="str">
        <f>Raw_Data!H254</f>
        <v>completed</v>
      </c>
      <c r="D256">
        <f>Raw_Data!L254</f>
        <v>0</v>
      </c>
      <c r="E256">
        <f>Raw_Data!M254</f>
        <v>1</v>
      </c>
      <c r="F256">
        <f>Raw_Data!I254</f>
        <v>1</v>
      </c>
      <c r="G256">
        <f>Raw_Data!N254</f>
        <v>0</v>
      </c>
      <c r="H256">
        <f>Raw_Data!K254</f>
        <v>1</v>
      </c>
      <c r="I256">
        <f>Raw_Data!R254</f>
        <v>21</v>
      </c>
      <c r="J256">
        <f>Raw_Data!T254</f>
        <v>1.1499999999999999</v>
      </c>
      <c r="K256" s="14">
        <f>Raw_Data!O254</f>
        <v>46238</v>
      </c>
    </row>
    <row r="257" spans="1:11" x14ac:dyDescent="0.3">
      <c r="A257" t="str">
        <f>Raw_Data!E255</f>
        <v>Divya Rao</v>
      </c>
      <c r="B257" t="str">
        <f>Raw_Data!B255</f>
        <v>Outgoing</v>
      </c>
      <c r="C257" t="str">
        <f>Raw_Data!H255</f>
        <v>failed</v>
      </c>
      <c r="D257">
        <f>Raw_Data!L255</f>
        <v>0</v>
      </c>
      <c r="E257">
        <f>Raw_Data!M255</f>
        <v>1</v>
      </c>
      <c r="F257">
        <f>Raw_Data!I255</f>
        <v>0</v>
      </c>
      <c r="G257">
        <f>Raw_Data!N255</f>
        <v>0</v>
      </c>
      <c r="H257">
        <f>Raw_Data!K255</f>
        <v>0</v>
      </c>
      <c r="I257">
        <f>Raw_Data!R255</f>
        <v>31</v>
      </c>
      <c r="J257">
        <f>Raw_Data!T255</f>
        <v>0.4</v>
      </c>
      <c r="K257" s="14">
        <f>Raw_Data!O255</f>
        <v>46238</v>
      </c>
    </row>
    <row r="258" spans="1:11" x14ac:dyDescent="0.3">
      <c r="A258" t="str">
        <f>Raw_Data!E256</f>
        <v>Abhishek Jain</v>
      </c>
      <c r="B258" t="str">
        <f>Raw_Data!B256</f>
        <v>Outgoing</v>
      </c>
      <c r="C258" t="str">
        <f>Raw_Data!H256</f>
        <v>no-answer</v>
      </c>
      <c r="D258">
        <f>Raw_Data!L256</f>
        <v>0</v>
      </c>
      <c r="E258">
        <f>Raw_Data!M256</f>
        <v>1</v>
      </c>
      <c r="F258">
        <f>Raw_Data!I256</f>
        <v>0</v>
      </c>
      <c r="G258">
        <f>Raw_Data!N256</f>
        <v>0</v>
      </c>
      <c r="H258">
        <f>Raw_Data!K256</f>
        <v>0</v>
      </c>
      <c r="I258">
        <f>Raw_Data!R256</f>
        <v>43</v>
      </c>
      <c r="J258">
        <f>Raw_Data!T256</f>
        <v>0.4</v>
      </c>
      <c r="K258" s="14">
        <f>Raw_Data!O256</f>
        <v>46238</v>
      </c>
    </row>
    <row r="259" spans="1:11" x14ac:dyDescent="0.3">
      <c r="A259" t="str">
        <f>Raw_Data!E257</f>
        <v>Kavya Menon</v>
      </c>
      <c r="B259" t="str">
        <f>Raw_Data!B257</f>
        <v>Outgoing</v>
      </c>
      <c r="C259" t="str">
        <f>Raw_Data!H257</f>
        <v>completed</v>
      </c>
      <c r="D259">
        <f>Raw_Data!L257</f>
        <v>0</v>
      </c>
      <c r="E259">
        <f>Raw_Data!M257</f>
        <v>1</v>
      </c>
      <c r="F259">
        <f>Raw_Data!I257</f>
        <v>1</v>
      </c>
      <c r="G259">
        <f>Raw_Data!N257</f>
        <v>0</v>
      </c>
      <c r="H259">
        <f>Raw_Data!K257</f>
        <v>1</v>
      </c>
      <c r="I259">
        <f>Raw_Data!R257</f>
        <v>36</v>
      </c>
      <c r="J259">
        <f>Raw_Data!T257</f>
        <v>1.1499999999999999</v>
      </c>
      <c r="K259" s="14">
        <f>Raw_Data!O257</f>
        <v>46236</v>
      </c>
    </row>
    <row r="260" spans="1:11" x14ac:dyDescent="0.3">
      <c r="A260" t="str">
        <f>Raw_Data!E258</f>
        <v>Sakshi Joshi</v>
      </c>
      <c r="B260" t="str">
        <f>Raw_Data!B258</f>
        <v>Outgoing</v>
      </c>
      <c r="C260" t="str">
        <f>Raw_Data!H258</f>
        <v>no-answer</v>
      </c>
      <c r="D260">
        <f>Raw_Data!L258</f>
        <v>0</v>
      </c>
      <c r="E260">
        <f>Raw_Data!M258</f>
        <v>1</v>
      </c>
      <c r="F260">
        <f>Raw_Data!I258</f>
        <v>0</v>
      </c>
      <c r="G260">
        <f>Raw_Data!N258</f>
        <v>0</v>
      </c>
      <c r="H260">
        <f>Raw_Data!K258</f>
        <v>0</v>
      </c>
      <c r="I260">
        <f>Raw_Data!R258</f>
        <v>44</v>
      </c>
      <c r="J260">
        <f>Raw_Data!T258</f>
        <v>0.4</v>
      </c>
      <c r="K260" s="14">
        <f>Raw_Data!O258</f>
        <v>46238</v>
      </c>
    </row>
    <row r="261" spans="1:11" x14ac:dyDescent="0.3">
      <c r="A261" t="str">
        <f>Raw_Data!E259</f>
        <v>Nikhil Kapoor</v>
      </c>
      <c r="B261" t="str">
        <f>Raw_Data!B259</f>
        <v>Outgoing</v>
      </c>
      <c r="C261" t="str">
        <f>Raw_Data!H259</f>
        <v>completed</v>
      </c>
      <c r="D261">
        <f>Raw_Data!L259</f>
        <v>0</v>
      </c>
      <c r="E261">
        <f>Raw_Data!M259</f>
        <v>1</v>
      </c>
      <c r="F261">
        <f>Raw_Data!I259</f>
        <v>1</v>
      </c>
      <c r="G261">
        <f>Raw_Data!N259</f>
        <v>0</v>
      </c>
      <c r="H261">
        <f>Raw_Data!K259</f>
        <v>1</v>
      </c>
      <c r="I261">
        <f>Raw_Data!R259</f>
        <v>78</v>
      </c>
      <c r="J261">
        <f>Raw_Data!T259</f>
        <v>1.55</v>
      </c>
      <c r="K261" s="14">
        <f>Raw_Data!O259</f>
        <v>46238</v>
      </c>
    </row>
    <row r="262" spans="1:11" x14ac:dyDescent="0.3">
      <c r="A262" t="str">
        <f>Raw_Data!E260</f>
        <v>Karan Malhotra</v>
      </c>
      <c r="B262" t="str">
        <f>Raw_Data!B260</f>
        <v>Outgoing</v>
      </c>
      <c r="C262" t="str">
        <f>Raw_Data!H260</f>
        <v>completed</v>
      </c>
      <c r="D262">
        <f>Raw_Data!L260</f>
        <v>0</v>
      </c>
      <c r="E262">
        <f>Raw_Data!M260</f>
        <v>1</v>
      </c>
      <c r="F262">
        <f>Raw_Data!I260</f>
        <v>1</v>
      </c>
      <c r="G262">
        <f>Raw_Data!N260</f>
        <v>0</v>
      </c>
      <c r="H262">
        <f>Raw_Data!K260</f>
        <v>1</v>
      </c>
      <c r="I262">
        <f>Raw_Data!R260</f>
        <v>228</v>
      </c>
      <c r="J262">
        <f>Raw_Data!T260</f>
        <v>4.5999999999999996</v>
      </c>
      <c r="K262" s="14">
        <f>Raw_Data!O260</f>
        <v>46238</v>
      </c>
    </row>
    <row r="263" spans="1:11" x14ac:dyDescent="0.3">
      <c r="A263" t="str">
        <f>Raw_Data!E261</f>
        <v>Kavya Menon</v>
      </c>
      <c r="B263" t="str">
        <f>Raw_Data!B261</f>
        <v>Outgoing</v>
      </c>
      <c r="C263" t="str">
        <f>Raw_Data!H261</f>
        <v>no-answer</v>
      </c>
      <c r="D263">
        <f>Raw_Data!L261</f>
        <v>0</v>
      </c>
      <c r="E263">
        <f>Raw_Data!M261</f>
        <v>1</v>
      </c>
      <c r="F263">
        <f>Raw_Data!I261</f>
        <v>0</v>
      </c>
      <c r="G263">
        <f>Raw_Data!N261</f>
        <v>0</v>
      </c>
      <c r="H263">
        <f>Raw_Data!K261</f>
        <v>0</v>
      </c>
      <c r="I263">
        <f>Raw_Data!R261</f>
        <v>40</v>
      </c>
      <c r="J263">
        <f>Raw_Data!T261</f>
        <v>0.4</v>
      </c>
      <c r="K263" s="14">
        <f>Raw_Data!O261</f>
        <v>46238</v>
      </c>
    </row>
    <row r="264" spans="1:11" x14ac:dyDescent="0.3">
      <c r="A264" t="str">
        <f>Raw_Data!E262</f>
        <v>Riya Mehta</v>
      </c>
      <c r="B264" t="str">
        <f>Raw_Data!B262</f>
        <v>Outgoing</v>
      </c>
      <c r="C264" t="str">
        <f>Raw_Data!H262</f>
        <v>no-answer</v>
      </c>
      <c r="D264">
        <f>Raw_Data!L262</f>
        <v>0</v>
      </c>
      <c r="E264">
        <f>Raw_Data!M262</f>
        <v>1</v>
      </c>
      <c r="F264">
        <f>Raw_Data!I262</f>
        <v>0</v>
      </c>
      <c r="G264">
        <f>Raw_Data!N262</f>
        <v>0</v>
      </c>
      <c r="H264">
        <f>Raw_Data!K262</f>
        <v>0</v>
      </c>
      <c r="I264">
        <f>Raw_Data!R262</f>
        <v>37</v>
      </c>
      <c r="J264">
        <f>Raw_Data!T262</f>
        <v>0.4</v>
      </c>
      <c r="K264" s="14">
        <f>Raw_Data!O262</f>
        <v>46238</v>
      </c>
    </row>
    <row r="265" spans="1:11" x14ac:dyDescent="0.3">
      <c r="A265" t="str">
        <f>Raw_Data!E263</f>
        <v>Deepak Yadav</v>
      </c>
      <c r="B265" t="str">
        <f>Raw_Data!B263</f>
        <v>Outgoing</v>
      </c>
      <c r="C265" t="str">
        <f>Raw_Data!H263</f>
        <v>no-answer</v>
      </c>
      <c r="D265">
        <f>Raw_Data!L263</f>
        <v>0</v>
      </c>
      <c r="E265">
        <f>Raw_Data!M263</f>
        <v>1</v>
      </c>
      <c r="F265">
        <f>Raw_Data!I263</f>
        <v>0</v>
      </c>
      <c r="G265">
        <f>Raw_Data!N263</f>
        <v>0</v>
      </c>
      <c r="H265">
        <f>Raw_Data!K263</f>
        <v>0</v>
      </c>
      <c r="I265">
        <f>Raw_Data!R263</f>
        <v>42</v>
      </c>
      <c r="J265">
        <f>Raw_Data!T263</f>
        <v>0.4</v>
      </c>
      <c r="K265" s="14">
        <f>Raw_Data!O263</f>
        <v>46238</v>
      </c>
    </row>
    <row r="266" spans="1:11" x14ac:dyDescent="0.3">
      <c r="A266" t="str">
        <f>Raw_Data!E264</f>
        <v>Amit Kulkarni</v>
      </c>
      <c r="B266" t="str">
        <f>Raw_Data!B264</f>
        <v>Outgoing</v>
      </c>
      <c r="C266" t="str">
        <f>Raw_Data!H264</f>
        <v>failed</v>
      </c>
      <c r="D266">
        <f>Raw_Data!L264</f>
        <v>0</v>
      </c>
      <c r="E266">
        <f>Raw_Data!M264</f>
        <v>1</v>
      </c>
      <c r="F266">
        <f>Raw_Data!I264</f>
        <v>0</v>
      </c>
      <c r="G266">
        <f>Raw_Data!N264</f>
        <v>0</v>
      </c>
      <c r="H266">
        <f>Raw_Data!K264</f>
        <v>0</v>
      </c>
      <c r="I266">
        <f>Raw_Data!R264</f>
        <v>16</v>
      </c>
      <c r="J266">
        <f>Raw_Data!T264</f>
        <v>0.4</v>
      </c>
      <c r="K266" s="14">
        <f>Raw_Data!O264</f>
        <v>46238</v>
      </c>
    </row>
    <row r="267" spans="1:11" x14ac:dyDescent="0.3">
      <c r="A267" t="str">
        <f>Raw_Data!E265</f>
        <v>Varun Iyer</v>
      </c>
      <c r="B267" t="str">
        <f>Raw_Data!B265</f>
        <v>Outgoing</v>
      </c>
      <c r="C267" t="str">
        <f>Raw_Data!H265</f>
        <v>no-answer</v>
      </c>
      <c r="D267">
        <f>Raw_Data!L265</f>
        <v>0</v>
      </c>
      <c r="E267">
        <f>Raw_Data!M265</f>
        <v>1</v>
      </c>
      <c r="F267">
        <f>Raw_Data!I265</f>
        <v>0</v>
      </c>
      <c r="G267">
        <f>Raw_Data!N265</f>
        <v>0</v>
      </c>
      <c r="H267">
        <f>Raw_Data!K265</f>
        <v>0</v>
      </c>
      <c r="I267">
        <f>Raw_Data!R265</f>
        <v>44</v>
      </c>
      <c r="J267">
        <f>Raw_Data!T265</f>
        <v>0.4</v>
      </c>
      <c r="K267" s="14">
        <f>Raw_Data!O265</f>
        <v>46236</v>
      </c>
    </row>
    <row r="268" spans="1:11" x14ac:dyDescent="0.3">
      <c r="A268" t="str">
        <f>Raw_Data!E266</f>
        <v>Kriti Singh</v>
      </c>
      <c r="B268" t="str">
        <f>Raw_Data!B266</f>
        <v>Outgoing</v>
      </c>
      <c r="C268" t="str">
        <f>Raw_Data!H266</f>
        <v>no-answer</v>
      </c>
      <c r="D268">
        <f>Raw_Data!L266</f>
        <v>0</v>
      </c>
      <c r="E268">
        <f>Raw_Data!M266</f>
        <v>1</v>
      </c>
      <c r="F268">
        <f>Raw_Data!I266</f>
        <v>0</v>
      </c>
      <c r="G268">
        <f>Raw_Data!N266</f>
        <v>0</v>
      </c>
      <c r="H268">
        <f>Raw_Data!K266</f>
        <v>0</v>
      </c>
      <c r="I268">
        <f>Raw_Data!R266</f>
        <v>41</v>
      </c>
      <c r="J268">
        <f>Raw_Data!T266</f>
        <v>0.4</v>
      </c>
      <c r="K268" s="14">
        <f>Raw_Data!O266</f>
        <v>46238</v>
      </c>
    </row>
    <row r="269" spans="1:11" x14ac:dyDescent="0.3">
      <c r="A269" t="str">
        <f>Raw_Data!E267</f>
        <v>Meera Joshi</v>
      </c>
      <c r="B269" t="str">
        <f>Raw_Data!B267</f>
        <v>Outgoing</v>
      </c>
      <c r="C269" t="str">
        <f>Raw_Data!H267</f>
        <v>failed</v>
      </c>
      <c r="D269">
        <f>Raw_Data!L267</f>
        <v>0</v>
      </c>
      <c r="E269">
        <f>Raw_Data!M267</f>
        <v>1</v>
      </c>
      <c r="F269">
        <f>Raw_Data!I267</f>
        <v>0</v>
      </c>
      <c r="G269">
        <f>Raw_Data!N267</f>
        <v>0</v>
      </c>
      <c r="H269">
        <f>Raw_Data!K267</f>
        <v>0</v>
      </c>
      <c r="I269">
        <f>Raw_Data!R267</f>
        <v>21</v>
      </c>
      <c r="J269">
        <f>Raw_Data!T267</f>
        <v>0.4</v>
      </c>
      <c r="K269" s="14">
        <f>Raw_Data!O267</f>
        <v>46238</v>
      </c>
    </row>
    <row r="270" spans="1:11" x14ac:dyDescent="0.3">
      <c r="A270" t="str">
        <f>Raw_Data!E268</f>
        <v>Siddharth Jain</v>
      </c>
      <c r="B270" t="str">
        <f>Raw_Data!B268</f>
        <v>Outgoing</v>
      </c>
      <c r="C270" t="str">
        <f>Raw_Data!H268</f>
        <v>no-answer</v>
      </c>
      <c r="D270">
        <f>Raw_Data!L268</f>
        <v>0</v>
      </c>
      <c r="E270">
        <f>Raw_Data!M268</f>
        <v>1</v>
      </c>
      <c r="F270">
        <f>Raw_Data!I268</f>
        <v>0</v>
      </c>
      <c r="G270">
        <f>Raw_Data!N268</f>
        <v>0</v>
      </c>
      <c r="H270">
        <f>Raw_Data!K268</f>
        <v>0</v>
      </c>
      <c r="I270">
        <f>Raw_Data!R268</f>
        <v>41</v>
      </c>
      <c r="J270">
        <f>Raw_Data!T268</f>
        <v>0.4</v>
      </c>
      <c r="K270" s="14">
        <f>Raw_Data!O268</f>
        <v>46238</v>
      </c>
    </row>
    <row r="271" spans="1:11" x14ac:dyDescent="0.3">
      <c r="A271" t="str">
        <f>Raw_Data!E269</f>
        <v>Vikram Patel</v>
      </c>
      <c r="B271" t="str">
        <f>Raw_Data!B269</f>
        <v>Outgoing</v>
      </c>
      <c r="C271" t="str">
        <f>Raw_Data!H269</f>
        <v>failed</v>
      </c>
      <c r="D271">
        <f>Raw_Data!L269</f>
        <v>0</v>
      </c>
      <c r="E271">
        <f>Raw_Data!M269</f>
        <v>1</v>
      </c>
      <c r="F271">
        <f>Raw_Data!I269</f>
        <v>0</v>
      </c>
      <c r="G271">
        <f>Raw_Data!N269</f>
        <v>0</v>
      </c>
      <c r="H271">
        <f>Raw_Data!K269</f>
        <v>0</v>
      </c>
      <c r="I271">
        <f>Raw_Data!R269</f>
        <v>24</v>
      </c>
      <c r="J271">
        <f>Raw_Data!T269</f>
        <v>0.4</v>
      </c>
      <c r="K271" s="14">
        <f>Raw_Data!O269</f>
        <v>46238</v>
      </c>
    </row>
    <row r="272" spans="1:11" x14ac:dyDescent="0.3">
      <c r="A272" t="str">
        <f>Raw_Data!E270</f>
        <v>Nikhil Kapoor</v>
      </c>
      <c r="B272" t="str">
        <f>Raw_Data!B270</f>
        <v>Outgoing</v>
      </c>
      <c r="C272" t="str">
        <f>Raw_Data!H270</f>
        <v>completed</v>
      </c>
      <c r="D272">
        <f>Raw_Data!L270</f>
        <v>0</v>
      </c>
      <c r="E272">
        <f>Raw_Data!M270</f>
        <v>1</v>
      </c>
      <c r="F272">
        <f>Raw_Data!I270</f>
        <v>1</v>
      </c>
      <c r="G272">
        <f>Raw_Data!N270</f>
        <v>0</v>
      </c>
      <c r="H272">
        <f>Raw_Data!K270</f>
        <v>1</v>
      </c>
      <c r="I272">
        <f>Raw_Data!R270</f>
        <v>24</v>
      </c>
      <c r="J272">
        <f>Raw_Data!T270</f>
        <v>1.1499999999999999</v>
      </c>
      <c r="K272" s="14">
        <f>Raw_Data!O270</f>
        <v>46238</v>
      </c>
    </row>
    <row r="273" spans="1:11" x14ac:dyDescent="0.3">
      <c r="A273" t="str">
        <f>Raw_Data!E271</f>
        <v>Ananya Sharma</v>
      </c>
      <c r="B273" t="str">
        <f>Raw_Data!B271</f>
        <v>Outgoing</v>
      </c>
      <c r="C273" t="str">
        <f>Raw_Data!H271</f>
        <v>completed</v>
      </c>
      <c r="D273">
        <f>Raw_Data!L271</f>
        <v>0</v>
      </c>
      <c r="E273">
        <f>Raw_Data!M271</f>
        <v>1</v>
      </c>
      <c r="F273">
        <f>Raw_Data!I271</f>
        <v>1</v>
      </c>
      <c r="G273">
        <f>Raw_Data!N271</f>
        <v>0</v>
      </c>
      <c r="H273">
        <f>Raw_Data!K271</f>
        <v>1</v>
      </c>
      <c r="I273">
        <f>Raw_Data!R271</f>
        <v>63</v>
      </c>
      <c r="J273">
        <f>Raw_Data!T271</f>
        <v>1.1499999999999999</v>
      </c>
      <c r="K273" s="14">
        <f>Raw_Data!O271</f>
        <v>46238</v>
      </c>
    </row>
    <row r="274" spans="1:11" x14ac:dyDescent="0.3">
      <c r="A274" t="str">
        <f>Raw_Data!E272</f>
        <v>Rohit Das</v>
      </c>
      <c r="B274" t="str">
        <f>Raw_Data!B272</f>
        <v>Outgoing</v>
      </c>
      <c r="C274" t="str">
        <f>Raw_Data!H272</f>
        <v>no-answer</v>
      </c>
      <c r="D274">
        <f>Raw_Data!L272</f>
        <v>0</v>
      </c>
      <c r="E274">
        <f>Raw_Data!M272</f>
        <v>1</v>
      </c>
      <c r="F274">
        <f>Raw_Data!I272</f>
        <v>0</v>
      </c>
      <c r="G274">
        <f>Raw_Data!N272</f>
        <v>0</v>
      </c>
      <c r="H274">
        <f>Raw_Data!K272</f>
        <v>0</v>
      </c>
      <c r="I274">
        <f>Raw_Data!R272</f>
        <v>43</v>
      </c>
      <c r="J274">
        <f>Raw_Data!T272</f>
        <v>0.4</v>
      </c>
      <c r="K274" s="14">
        <f>Raw_Data!O272</f>
        <v>46238</v>
      </c>
    </row>
    <row r="275" spans="1:11" x14ac:dyDescent="0.3">
      <c r="A275" t="str">
        <f>Raw_Data!E273</f>
        <v>Rohan Mehta</v>
      </c>
      <c r="B275" t="str">
        <f>Raw_Data!B273</f>
        <v>Outgoing</v>
      </c>
      <c r="C275" t="str">
        <f>Raw_Data!H273</f>
        <v>failed</v>
      </c>
      <c r="D275">
        <f>Raw_Data!L273</f>
        <v>0</v>
      </c>
      <c r="E275">
        <f>Raw_Data!M273</f>
        <v>1</v>
      </c>
      <c r="F275">
        <f>Raw_Data!I273</f>
        <v>0</v>
      </c>
      <c r="G275">
        <f>Raw_Data!N273</f>
        <v>0</v>
      </c>
      <c r="H275">
        <f>Raw_Data!K273</f>
        <v>0</v>
      </c>
      <c r="I275">
        <f>Raw_Data!R273</f>
        <v>15</v>
      </c>
      <c r="J275">
        <f>Raw_Data!T273</f>
        <v>0.4</v>
      </c>
      <c r="K275" s="14">
        <f>Raw_Data!O273</f>
        <v>46238</v>
      </c>
    </row>
    <row r="276" spans="1:11" x14ac:dyDescent="0.3">
      <c r="A276" t="str">
        <f>Raw_Data!E274</f>
        <v>Vivek Gupta</v>
      </c>
      <c r="B276" t="str">
        <f>Raw_Data!B274</f>
        <v>Outgoing</v>
      </c>
      <c r="C276" t="str">
        <f>Raw_Data!H274</f>
        <v>failed</v>
      </c>
      <c r="D276">
        <f>Raw_Data!L274</f>
        <v>0</v>
      </c>
      <c r="E276">
        <f>Raw_Data!M274</f>
        <v>1</v>
      </c>
      <c r="F276">
        <f>Raw_Data!I274</f>
        <v>0</v>
      </c>
      <c r="G276">
        <f>Raw_Data!N274</f>
        <v>0</v>
      </c>
      <c r="H276">
        <f>Raw_Data!K274</f>
        <v>0</v>
      </c>
      <c r="I276">
        <f>Raw_Data!R274</f>
        <v>34</v>
      </c>
      <c r="J276">
        <f>Raw_Data!T274</f>
        <v>0.4</v>
      </c>
      <c r="K276" s="14">
        <f>Raw_Data!O274</f>
        <v>46238</v>
      </c>
    </row>
    <row r="277" spans="1:11" x14ac:dyDescent="0.3">
      <c r="A277" t="str">
        <f>Raw_Data!E275</f>
        <v>Rahul Verma</v>
      </c>
      <c r="B277" t="str">
        <f>Raw_Data!B275</f>
        <v>Outgoing</v>
      </c>
      <c r="C277" t="str">
        <f>Raw_Data!H275</f>
        <v>no-answer</v>
      </c>
      <c r="D277">
        <f>Raw_Data!L275</f>
        <v>0</v>
      </c>
      <c r="E277">
        <f>Raw_Data!M275</f>
        <v>1</v>
      </c>
      <c r="F277">
        <f>Raw_Data!I275</f>
        <v>0</v>
      </c>
      <c r="G277">
        <f>Raw_Data!N275</f>
        <v>0</v>
      </c>
      <c r="H277">
        <f>Raw_Data!K275</f>
        <v>0</v>
      </c>
      <c r="I277">
        <f>Raw_Data!R275</f>
        <v>43</v>
      </c>
      <c r="J277">
        <f>Raw_Data!T275</f>
        <v>0.4</v>
      </c>
      <c r="K277" s="14">
        <f>Raw_Data!O275</f>
        <v>46236</v>
      </c>
    </row>
    <row r="278" spans="1:11" x14ac:dyDescent="0.3">
      <c r="A278" t="str">
        <f>Raw_Data!E276</f>
        <v>Siddharth Jain</v>
      </c>
      <c r="B278" t="str">
        <f>Raw_Data!B276</f>
        <v>Outgoing</v>
      </c>
      <c r="C278" t="str">
        <f>Raw_Data!H276</f>
        <v>failed</v>
      </c>
      <c r="D278">
        <f>Raw_Data!L276</f>
        <v>0</v>
      </c>
      <c r="E278">
        <f>Raw_Data!M276</f>
        <v>1</v>
      </c>
      <c r="F278">
        <f>Raw_Data!I276</f>
        <v>0</v>
      </c>
      <c r="G278">
        <f>Raw_Data!N276</f>
        <v>0</v>
      </c>
      <c r="H278">
        <f>Raw_Data!K276</f>
        <v>0</v>
      </c>
      <c r="I278">
        <f>Raw_Data!R276</f>
        <v>26</v>
      </c>
      <c r="J278">
        <f>Raw_Data!T276</f>
        <v>0.4</v>
      </c>
      <c r="K278" s="14">
        <f>Raw_Data!O276</f>
        <v>46238</v>
      </c>
    </row>
    <row r="279" spans="1:11" x14ac:dyDescent="0.3">
      <c r="A279" t="str">
        <f>Raw_Data!E277</f>
        <v>Rohan Mehta</v>
      </c>
      <c r="B279" t="str">
        <f>Raw_Data!B277</f>
        <v>Outgoing</v>
      </c>
      <c r="C279" t="str">
        <f>Raw_Data!H277</f>
        <v>failed</v>
      </c>
      <c r="D279">
        <f>Raw_Data!L277</f>
        <v>0</v>
      </c>
      <c r="E279">
        <f>Raw_Data!M277</f>
        <v>1</v>
      </c>
      <c r="F279">
        <f>Raw_Data!I277</f>
        <v>0</v>
      </c>
      <c r="G279">
        <f>Raw_Data!N277</f>
        <v>0</v>
      </c>
      <c r="H279">
        <f>Raw_Data!K277</f>
        <v>0</v>
      </c>
      <c r="I279">
        <f>Raw_Data!R277</f>
        <v>24</v>
      </c>
      <c r="J279">
        <f>Raw_Data!T277</f>
        <v>0.4</v>
      </c>
      <c r="K279" s="14">
        <f>Raw_Data!O277</f>
        <v>46238</v>
      </c>
    </row>
    <row r="280" spans="1:11" x14ac:dyDescent="0.3">
      <c r="A280" t="str">
        <f>Raw_Data!E278</f>
        <v>Sanjay Nair</v>
      </c>
      <c r="B280" t="str">
        <f>Raw_Data!B278</f>
        <v>Outgoing</v>
      </c>
      <c r="C280" t="str">
        <f>Raw_Data!H278</f>
        <v>failed</v>
      </c>
      <c r="D280">
        <f>Raw_Data!L278</f>
        <v>0</v>
      </c>
      <c r="E280">
        <f>Raw_Data!M278</f>
        <v>1</v>
      </c>
      <c r="F280">
        <f>Raw_Data!I278</f>
        <v>0</v>
      </c>
      <c r="G280">
        <f>Raw_Data!N278</f>
        <v>0</v>
      </c>
      <c r="H280">
        <f>Raw_Data!K278</f>
        <v>0</v>
      </c>
      <c r="I280">
        <f>Raw_Data!R278</f>
        <v>17</v>
      </c>
      <c r="J280">
        <f>Raw_Data!T278</f>
        <v>0.4</v>
      </c>
      <c r="K280" s="14">
        <f>Raw_Data!O278</f>
        <v>46238</v>
      </c>
    </row>
    <row r="281" spans="1:11" x14ac:dyDescent="0.3">
      <c r="A281" t="str">
        <f>Raw_Data!E279</f>
        <v>Simran Kaur</v>
      </c>
      <c r="B281" t="str">
        <f>Raw_Data!B279</f>
        <v>Outgoing</v>
      </c>
      <c r="C281" t="str">
        <f>Raw_Data!H279</f>
        <v>completed</v>
      </c>
      <c r="D281">
        <f>Raw_Data!L279</f>
        <v>0</v>
      </c>
      <c r="E281">
        <f>Raw_Data!M279</f>
        <v>1</v>
      </c>
      <c r="F281">
        <f>Raw_Data!I279</f>
        <v>1</v>
      </c>
      <c r="G281">
        <f>Raw_Data!N279</f>
        <v>0</v>
      </c>
      <c r="H281">
        <f>Raw_Data!K279</f>
        <v>1</v>
      </c>
      <c r="I281">
        <f>Raw_Data!R279</f>
        <v>124</v>
      </c>
      <c r="J281">
        <f>Raw_Data!T279</f>
        <v>2.2999999999999998</v>
      </c>
      <c r="K281" s="14">
        <f>Raw_Data!O279</f>
        <v>46238</v>
      </c>
    </row>
    <row r="282" spans="1:11" x14ac:dyDescent="0.3">
      <c r="A282" t="str">
        <f>Raw_Data!E280</f>
        <v>Siddharth Jain</v>
      </c>
      <c r="B282" t="str">
        <f>Raw_Data!B280</f>
        <v>Outgoing</v>
      </c>
      <c r="C282" t="str">
        <f>Raw_Data!H280</f>
        <v>failed</v>
      </c>
      <c r="D282">
        <f>Raw_Data!L280</f>
        <v>0</v>
      </c>
      <c r="E282">
        <f>Raw_Data!M280</f>
        <v>1</v>
      </c>
      <c r="F282">
        <f>Raw_Data!I280</f>
        <v>0</v>
      </c>
      <c r="G282">
        <f>Raw_Data!N280</f>
        <v>0</v>
      </c>
      <c r="H282">
        <f>Raw_Data!K280</f>
        <v>0</v>
      </c>
      <c r="I282">
        <f>Raw_Data!R280</f>
        <v>16</v>
      </c>
      <c r="J282">
        <f>Raw_Data!T280</f>
        <v>0.4</v>
      </c>
      <c r="K282" s="14">
        <f>Raw_Data!O280</f>
        <v>46238</v>
      </c>
    </row>
    <row r="283" spans="1:11" x14ac:dyDescent="0.3">
      <c r="A283" t="str">
        <f>Raw_Data!E281</f>
        <v>Anjali Menon</v>
      </c>
      <c r="B283" t="str">
        <f>Raw_Data!B281</f>
        <v>Outgoing</v>
      </c>
      <c r="C283" t="str">
        <f>Raw_Data!H281</f>
        <v>failed</v>
      </c>
      <c r="D283">
        <f>Raw_Data!L281</f>
        <v>0</v>
      </c>
      <c r="E283">
        <f>Raw_Data!M281</f>
        <v>1</v>
      </c>
      <c r="F283">
        <f>Raw_Data!I281</f>
        <v>0</v>
      </c>
      <c r="G283">
        <f>Raw_Data!N281</f>
        <v>0</v>
      </c>
      <c r="H283">
        <f>Raw_Data!K281</f>
        <v>0</v>
      </c>
      <c r="I283">
        <f>Raw_Data!R281</f>
        <v>19</v>
      </c>
      <c r="J283">
        <f>Raw_Data!T281</f>
        <v>0.4</v>
      </c>
      <c r="K283" s="14">
        <f>Raw_Data!O281</f>
        <v>46238</v>
      </c>
    </row>
    <row r="284" spans="1:11" x14ac:dyDescent="0.3">
      <c r="A284" t="str">
        <f>Raw_Data!E282</f>
        <v>Kriti Singh</v>
      </c>
      <c r="B284" t="str">
        <f>Raw_Data!B282</f>
        <v>Outgoing</v>
      </c>
      <c r="C284" t="str">
        <f>Raw_Data!H282</f>
        <v>failed</v>
      </c>
      <c r="D284">
        <f>Raw_Data!L282</f>
        <v>0</v>
      </c>
      <c r="E284">
        <f>Raw_Data!M282</f>
        <v>1</v>
      </c>
      <c r="F284">
        <f>Raw_Data!I282</f>
        <v>0</v>
      </c>
      <c r="G284">
        <f>Raw_Data!N282</f>
        <v>0</v>
      </c>
      <c r="H284">
        <f>Raw_Data!K282</f>
        <v>0</v>
      </c>
      <c r="I284">
        <f>Raw_Data!R282</f>
        <v>29</v>
      </c>
      <c r="J284">
        <f>Raw_Data!T282</f>
        <v>0.4</v>
      </c>
      <c r="K284" s="14">
        <f>Raw_Data!O282</f>
        <v>46238</v>
      </c>
    </row>
    <row r="285" spans="1:11" x14ac:dyDescent="0.3">
      <c r="A285" t="str">
        <f>Raw_Data!E283</f>
        <v>Nisha Verma</v>
      </c>
      <c r="B285" t="str">
        <f>Raw_Data!B283</f>
        <v>Outgoing</v>
      </c>
      <c r="C285" t="str">
        <f>Raw_Data!H283</f>
        <v>completed</v>
      </c>
      <c r="D285">
        <f>Raw_Data!L283</f>
        <v>0</v>
      </c>
      <c r="E285">
        <f>Raw_Data!M283</f>
        <v>1</v>
      </c>
      <c r="F285">
        <f>Raw_Data!I283</f>
        <v>1</v>
      </c>
      <c r="G285">
        <f>Raw_Data!N283</f>
        <v>0</v>
      </c>
      <c r="H285">
        <f>Raw_Data!K283</f>
        <v>1</v>
      </c>
      <c r="I285">
        <f>Raw_Data!R283</f>
        <v>95</v>
      </c>
      <c r="J285">
        <f>Raw_Data!T283</f>
        <v>2.2999999999999998</v>
      </c>
      <c r="K285" s="14">
        <f>Raw_Data!O283</f>
        <v>46238</v>
      </c>
    </row>
    <row r="286" spans="1:11" x14ac:dyDescent="0.3">
      <c r="A286" t="str">
        <f>Raw_Data!E284</f>
        <v>Nikhil Kapoor</v>
      </c>
      <c r="B286" t="str">
        <f>Raw_Data!B284</f>
        <v>Outgoing</v>
      </c>
      <c r="C286" t="str">
        <f>Raw_Data!H284</f>
        <v>failed</v>
      </c>
      <c r="D286">
        <f>Raw_Data!L284</f>
        <v>0</v>
      </c>
      <c r="E286">
        <f>Raw_Data!M284</f>
        <v>1</v>
      </c>
      <c r="F286">
        <f>Raw_Data!I284</f>
        <v>0</v>
      </c>
      <c r="G286">
        <f>Raw_Data!N284</f>
        <v>0</v>
      </c>
      <c r="H286">
        <f>Raw_Data!K284</f>
        <v>0</v>
      </c>
      <c r="I286">
        <f>Raw_Data!R284</f>
        <v>23</v>
      </c>
      <c r="J286">
        <f>Raw_Data!T284</f>
        <v>0.4</v>
      </c>
      <c r="K286" s="14">
        <f>Raw_Data!O284</f>
        <v>46238</v>
      </c>
    </row>
    <row r="287" spans="1:11" x14ac:dyDescent="0.3">
      <c r="A287" t="str">
        <f>Raw_Data!E285</f>
        <v>Simran Kaur</v>
      </c>
      <c r="B287" t="str">
        <f>Raw_Data!B285</f>
        <v>Outgoing</v>
      </c>
      <c r="C287" t="str">
        <f>Raw_Data!H285</f>
        <v>failed</v>
      </c>
      <c r="D287">
        <f>Raw_Data!L285</f>
        <v>0</v>
      </c>
      <c r="E287">
        <f>Raw_Data!M285</f>
        <v>1</v>
      </c>
      <c r="F287">
        <f>Raw_Data!I285</f>
        <v>0</v>
      </c>
      <c r="G287">
        <f>Raw_Data!N285</f>
        <v>0</v>
      </c>
      <c r="H287">
        <f>Raw_Data!K285</f>
        <v>0</v>
      </c>
      <c r="I287">
        <f>Raw_Data!R285</f>
        <v>35</v>
      </c>
      <c r="J287">
        <f>Raw_Data!T285</f>
        <v>0.4</v>
      </c>
      <c r="K287" s="14">
        <f>Raw_Data!O285</f>
        <v>46238</v>
      </c>
    </row>
    <row r="288" spans="1:11" x14ac:dyDescent="0.3">
      <c r="A288" t="str">
        <f>Raw_Data!E286</f>
        <v>Rahul Verma</v>
      </c>
      <c r="B288" t="str">
        <f>Raw_Data!B286</f>
        <v>Outgoing</v>
      </c>
      <c r="C288" t="str">
        <f>Raw_Data!H286</f>
        <v>no-answer</v>
      </c>
      <c r="D288">
        <f>Raw_Data!L286</f>
        <v>0</v>
      </c>
      <c r="E288">
        <f>Raw_Data!M286</f>
        <v>1</v>
      </c>
      <c r="F288">
        <f>Raw_Data!I286</f>
        <v>0</v>
      </c>
      <c r="G288">
        <f>Raw_Data!N286</f>
        <v>0</v>
      </c>
      <c r="H288">
        <f>Raw_Data!K286</f>
        <v>0</v>
      </c>
      <c r="I288">
        <f>Raw_Data!R286</f>
        <v>43</v>
      </c>
      <c r="J288">
        <f>Raw_Data!T286</f>
        <v>0.4</v>
      </c>
      <c r="K288" s="14">
        <f>Raw_Data!O286</f>
        <v>46236</v>
      </c>
    </row>
    <row r="289" spans="1:11" x14ac:dyDescent="0.3">
      <c r="A289" t="str">
        <f>Raw_Data!E287</f>
        <v>Aditya Rao</v>
      </c>
      <c r="B289" t="str">
        <f>Raw_Data!B287</f>
        <v>Outgoing</v>
      </c>
      <c r="C289" t="str">
        <f>Raw_Data!H287</f>
        <v>completed</v>
      </c>
      <c r="D289">
        <f>Raw_Data!L287</f>
        <v>0</v>
      </c>
      <c r="E289">
        <f>Raw_Data!M287</f>
        <v>1</v>
      </c>
      <c r="F289">
        <f>Raw_Data!I287</f>
        <v>1</v>
      </c>
      <c r="G289">
        <f>Raw_Data!N287</f>
        <v>0</v>
      </c>
      <c r="H289">
        <f>Raw_Data!K287</f>
        <v>1</v>
      </c>
      <c r="I289">
        <f>Raw_Data!R287</f>
        <v>48</v>
      </c>
      <c r="J289">
        <f>Raw_Data!T287</f>
        <v>1.1499999999999999</v>
      </c>
      <c r="K289" s="14">
        <f>Raw_Data!O287</f>
        <v>46239</v>
      </c>
    </row>
    <row r="290" spans="1:11" x14ac:dyDescent="0.3">
      <c r="A290" t="str">
        <f>Raw_Data!E288</f>
        <v>Pooja Shah</v>
      </c>
      <c r="B290" t="str">
        <f>Raw_Data!B288</f>
        <v>Outgoing</v>
      </c>
      <c r="C290" t="str">
        <f>Raw_Data!H288</f>
        <v>no-answer</v>
      </c>
      <c r="D290">
        <f>Raw_Data!L288</f>
        <v>0</v>
      </c>
      <c r="E290">
        <f>Raw_Data!M288</f>
        <v>1</v>
      </c>
      <c r="F290">
        <f>Raw_Data!I288</f>
        <v>0</v>
      </c>
      <c r="G290">
        <f>Raw_Data!N288</f>
        <v>0</v>
      </c>
      <c r="H290">
        <f>Raw_Data!K288</f>
        <v>0</v>
      </c>
      <c r="I290">
        <f>Raw_Data!R288</f>
        <v>42</v>
      </c>
      <c r="J290">
        <f>Raw_Data!T288</f>
        <v>0.4</v>
      </c>
      <c r="K290" s="14">
        <f>Raw_Data!O288</f>
        <v>46239</v>
      </c>
    </row>
    <row r="291" spans="1:11" x14ac:dyDescent="0.3">
      <c r="A291" t="str">
        <f>Raw_Data!E289</f>
        <v>Meera Joshi</v>
      </c>
      <c r="B291" t="str">
        <f>Raw_Data!B289</f>
        <v>Outgoing</v>
      </c>
      <c r="C291" t="str">
        <f>Raw_Data!H289</f>
        <v>no-answer</v>
      </c>
      <c r="D291">
        <f>Raw_Data!L289</f>
        <v>0</v>
      </c>
      <c r="E291">
        <f>Raw_Data!M289</f>
        <v>1</v>
      </c>
      <c r="F291">
        <f>Raw_Data!I289</f>
        <v>0</v>
      </c>
      <c r="G291">
        <f>Raw_Data!N289</f>
        <v>0</v>
      </c>
      <c r="H291">
        <f>Raw_Data!K289</f>
        <v>0</v>
      </c>
      <c r="I291">
        <f>Raw_Data!R289</f>
        <v>41</v>
      </c>
      <c r="J291">
        <f>Raw_Data!T289</f>
        <v>0.4</v>
      </c>
      <c r="K291" s="14">
        <f>Raw_Data!O289</f>
        <v>46239</v>
      </c>
    </row>
    <row r="292" spans="1:11" x14ac:dyDescent="0.3">
      <c r="A292" t="str">
        <f>Raw_Data!E290</f>
        <v>Pooja Shah</v>
      </c>
      <c r="B292" t="str">
        <f>Raw_Data!B290</f>
        <v>Outgoing</v>
      </c>
      <c r="C292" t="str">
        <f>Raw_Data!H290</f>
        <v>completed</v>
      </c>
      <c r="D292">
        <f>Raw_Data!L290</f>
        <v>0</v>
      </c>
      <c r="E292">
        <f>Raw_Data!M290</f>
        <v>1</v>
      </c>
      <c r="F292">
        <f>Raw_Data!I290</f>
        <v>1</v>
      </c>
      <c r="G292">
        <f>Raw_Data!N290</f>
        <v>0</v>
      </c>
      <c r="H292">
        <f>Raw_Data!K290</f>
        <v>1</v>
      </c>
      <c r="I292">
        <f>Raw_Data!R290</f>
        <v>32</v>
      </c>
      <c r="J292">
        <f>Raw_Data!T290</f>
        <v>1.1499999999999999</v>
      </c>
      <c r="K292" s="14">
        <f>Raw_Data!O290</f>
        <v>46239</v>
      </c>
    </row>
    <row r="293" spans="1:11" x14ac:dyDescent="0.3">
      <c r="A293" t="str">
        <f>Raw_Data!E291</f>
        <v>Karan Malhotra</v>
      </c>
      <c r="B293" t="str">
        <f>Raw_Data!B291</f>
        <v>Outgoing</v>
      </c>
      <c r="C293" t="str">
        <f>Raw_Data!H291</f>
        <v>completed</v>
      </c>
      <c r="D293">
        <f>Raw_Data!L291</f>
        <v>0</v>
      </c>
      <c r="E293">
        <f>Raw_Data!M291</f>
        <v>1</v>
      </c>
      <c r="F293">
        <f>Raw_Data!I291</f>
        <v>1</v>
      </c>
      <c r="G293">
        <f>Raw_Data!N291</f>
        <v>0</v>
      </c>
      <c r="H293">
        <f>Raw_Data!K291</f>
        <v>1</v>
      </c>
      <c r="I293">
        <f>Raw_Data!R291</f>
        <v>202</v>
      </c>
      <c r="J293">
        <f>Raw_Data!T291</f>
        <v>3.85</v>
      </c>
      <c r="K293" s="14">
        <f>Raw_Data!O291</f>
        <v>46239</v>
      </c>
    </row>
    <row r="294" spans="1:11" x14ac:dyDescent="0.3">
      <c r="A294" t="str">
        <f>Raw_Data!E292</f>
        <v>Rahul Verma</v>
      </c>
      <c r="B294" t="str">
        <f>Raw_Data!B292</f>
        <v>Outgoing</v>
      </c>
      <c r="C294" t="str">
        <f>Raw_Data!H292</f>
        <v>completed</v>
      </c>
      <c r="D294">
        <f>Raw_Data!L292</f>
        <v>0</v>
      </c>
      <c r="E294">
        <f>Raw_Data!M292</f>
        <v>1</v>
      </c>
      <c r="F294">
        <f>Raw_Data!I292</f>
        <v>1</v>
      </c>
      <c r="G294">
        <f>Raw_Data!N292</f>
        <v>0</v>
      </c>
      <c r="H294">
        <f>Raw_Data!K292</f>
        <v>1</v>
      </c>
      <c r="I294">
        <f>Raw_Data!R292</f>
        <v>47</v>
      </c>
      <c r="J294">
        <f>Raw_Data!T292</f>
        <v>0.8</v>
      </c>
      <c r="K294" s="14">
        <f>Raw_Data!O292</f>
        <v>46239</v>
      </c>
    </row>
    <row r="295" spans="1:11" x14ac:dyDescent="0.3">
      <c r="A295" t="str">
        <f>Raw_Data!E293</f>
        <v>Abhishek Jain</v>
      </c>
      <c r="B295" t="str">
        <f>Raw_Data!B293</f>
        <v>Outgoing</v>
      </c>
      <c r="C295" t="str">
        <f>Raw_Data!H293</f>
        <v>no-answer</v>
      </c>
      <c r="D295">
        <f>Raw_Data!L293</f>
        <v>0</v>
      </c>
      <c r="E295">
        <f>Raw_Data!M293</f>
        <v>1</v>
      </c>
      <c r="F295">
        <f>Raw_Data!I293</f>
        <v>0</v>
      </c>
      <c r="G295">
        <f>Raw_Data!N293</f>
        <v>0</v>
      </c>
      <c r="H295">
        <f>Raw_Data!K293</f>
        <v>0</v>
      </c>
      <c r="I295">
        <f>Raw_Data!R293</f>
        <v>44</v>
      </c>
      <c r="J295">
        <f>Raw_Data!T293</f>
        <v>0.4</v>
      </c>
      <c r="K295" s="14">
        <f>Raw_Data!O293</f>
        <v>46239</v>
      </c>
    </row>
    <row r="296" spans="1:11" x14ac:dyDescent="0.3">
      <c r="A296" t="str">
        <f>Raw_Data!E294</f>
        <v>Nikhil Kapoor</v>
      </c>
      <c r="B296" t="str">
        <f>Raw_Data!B294</f>
        <v>Outgoing</v>
      </c>
      <c r="C296" t="str">
        <f>Raw_Data!H294</f>
        <v>completed</v>
      </c>
      <c r="D296">
        <f>Raw_Data!L294</f>
        <v>0</v>
      </c>
      <c r="E296">
        <f>Raw_Data!M294</f>
        <v>1</v>
      </c>
      <c r="F296">
        <f>Raw_Data!I294</f>
        <v>1</v>
      </c>
      <c r="G296">
        <f>Raw_Data!N294</f>
        <v>0</v>
      </c>
      <c r="H296">
        <f>Raw_Data!K294</f>
        <v>1</v>
      </c>
      <c r="I296">
        <f>Raw_Data!R294</f>
        <v>46</v>
      </c>
      <c r="J296">
        <f>Raw_Data!T294</f>
        <v>1.1499999999999999</v>
      </c>
      <c r="K296" s="14">
        <f>Raw_Data!O294</f>
        <v>46239</v>
      </c>
    </row>
    <row r="297" spans="1:11" x14ac:dyDescent="0.3">
      <c r="A297" t="str">
        <f>Raw_Data!E295</f>
        <v>Sakshi Joshi</v>
      </c>
      <c r="B297" t="str">
        <f>Raw_Data!B295</f>
        <v>Outgoing</v>
      </c>
      <c r="C297" t="str">
        <f>Raw_Data!H295</f>
        <v>completed</v>
      </c>
      <c r="D297">
        <f>Raw_Data!L295</f>
        <v>0</v>
      </c>
      <c r="E297">
        <f>Raw_Data!M295</f>
        <v>1</v>
      </c>
      <c r="F297">
        <f>Raw_Data!I295</f>
        <v>1</v>
      </c>
      <c r="G297">
        <f>Raw_Data!N295</f>
        <v>0</v>
      </c>
      <c r="H297">
        <f>Raw_Data!K295</f>
        <v>1</v>
      </c>
      <c r="I297">
        <f>Raw_Data!R295</f>
        <v>185</v>
      </c>
      <c r="J297">
        <f>Raw_Data!T295</f>
        <v>2.8</v>
      </c>
      <c r="K297" s="14">
        <f>Raw_Data!O295</f>
        <v>46239</v>
      </c>
    </row>
    <row r="298" spans="1:11" x14ac:dyDescent="0.3">
      <c r="A298" t="str">
        <f>Raw_Data!E296</f>
        <v>Priya Nair</v>
      </c>
      <c r="B298" t="str">
        <f>Raw_Data!B296</f>
        <v>Outgoing</v>
      </c>
      <c r="C298" t="str">
        <f>Raw_Data!H296</f>
        <v>failed</v>
      </c>
      <c r="D298">
        <f>Raw_Data!L296</f>
        <v>0</v>
      </c>
      <c r="E298">
        <f>Raw_Data!M296</f>
        <v>1</v>
      </c>
      <c r="F298">
        <f>Raw_Data!I296</f>
        <v>0</v>
      </c>
      <c r="G298">
        <f>Raw_Data!N296</f>
        <v>0</v>
      </c>
      <c r="H298">
        <f>Raw_Data!K296</f>
        <v>0</v>
      </c>
      <c r="I298">
        <f>Raw_Data!R296</f>
        <v>26</v>
      </c>
      <c r="J298">
        <f>Raw_Data!T296</f>
        <v>0.4</v>
      </c>
      <c r="K298" s="14">
        <f>Raw_Data!O296</f>
        <v>46236</v>
      </c>
    </row>
    <row r="299" spans="1:11" x14ac:dyDescent="0.3">
      <c r="A299" t="str">
        <f>Raw_Data!E297</f>
        <v>Nisha Verma</v>
      </c>
      <c r="B299" t="str">
        <f>Raw_Data!B297</f>
        <v>Outgoing</v>
      </c>
      <c r="C299" t="str">
        <f>Raw_Data!H297</f>
        <v>completed</v>
      </c>
      <c r="D299">
        <f>Raw_Data!L297</f>
        <v>0</v>
      </c>
      <c r="E299">
        <f>Raw_Data!M297</f>
        <v>1</v>
      </c>
      <c r="F299">
        <f>Raw_Data!I297</f>
        <v>1</v>
      </c>
      <c r="G299">
        <f>Raw_Data!N297</f>
        <v>0</v>
      </c>
      <c r="H299">
        <f>Raw_Data!K297</f>
        <v>1</v>
      </c>
      <c r="I299">
        <f>Raw_Data!R297</f>
        <v>70</v>
      </c>
      <c r="J299">
        <f>Raw_Data!T297</f>
        <v>1.55</v>
      </c>
      <c r="K299" s="14">
        <f>Raw_Data!O297</f>
        <v>46239</v>
      </c>
    </row>
    <row r="300" spans="1:11" x14ac:dyDescent="0.3">
      <c r="A300" t="str">
        <f>Raw_Data!E298</f>
        <v>Vikram Patel</v>
      </c>
      <c r="B300" t="str">
        <f>Raw_Data!B298</f>
        <v>Outgoing</v>
      </c>
      <c r="C300" t="str">
        <f>Raw_Data!H298</f>
        <v>no-answer</v>
      </c>
      <c r="D300">
        <f>Raw_Data!L298</f>
        <v>0</v>
      </c>
      <c r="E300">
        <f>Raw_Data!M298</f>
        <v>1</v>
      </c>
      <c r="F300">
        <f>Raw_Data!I298</f>
        <v>0</v>
      </c>
      <c r="G300">
        <f>Raw_Data!N298</f>
        <v>0</v>
      </c>
      <c r="H300">
        <f>Raw_Data!K298</f>
        <v>0</v>
      </c>
      <c r="I300">
        <f>Raw_Data!R298</f>
        <v>43</v>
      </c>
      <c r="J300">
        <f>Raw_Data!T298</f>
        <v>0.4</v>
      </c>
      <c r="K300" s="14">
        <f>Raw_Data!O298</f>
        <v>46239</v>
      </c>
    </row>
    <row r="301" spans="1:11" x14ac:dyDescent="0.3">
      <c r="A301" t="str">
        <f>Raw_Data!E299</f>
        <v>Ishita Kapoor</v>
      </c>
      <c r="B301" t="str">
        <f>Raw_Data!B299</f>
        <v>Outgoing</v>
      </c>
      <c r="C301" t="str">
        <f>Raw_Data!H299</f>
        <v>failed</v>
      </c>
      <c r="D301">
        <f>Raw_Data!L299</f>
        <v>0</v>
      </c>
      <c r="E301">
        <f>Raw_Data!M299</f>
        <v>1</v>
      </c>
      <c r="F301">
        <f>Raw_Data!I299</f>
        <v>0</v>
      </c>
      <c r="G301">
        <f>Raw_Data!N299</f>
        <v>0</v>
      </c>
      <c r="H301">
        <f>Raw_Data!K299</f>
        <v>0</v>
      </c>
      <c r="I301">
        <f>Raw_Data!R299</f>
        <v>22</v>
      </c>
      <c r="J301">
        <f>Raw_Data!T299</f>
        <v>0.4</v>
      </c>
      <c r="K301" s="14">
        <f>Raw_Data!O299</f>
        <v>46239</v>
      </c>
    </row>
    <row r="302" spans="1:11" x14ac:dyDescent="0.3">
      <c r="A302" t="str">
        <f>Raw_Data!E300</f>
        <v>Abhishek Jain</v>
      </c>
      <c r="B302" t="str">
        <f>Raw_Data!B300</f>
        <v>Outgoing</v>
      </c>
      <c r="C302" t="str">
        <f>Raw_Data!H300</f>
        <v>failed</v>
      </c>
      <c r="D302">
        <f>Raw_Data!L300</f>
        <v>0</v>
      </c>
      <c r="E302">
        <f>Raw_Data!M300</f>
        <v>1</v>
      </c>
      <c r="F302">
        <f>Raw_Data!I300</f>
        <v>0</v>
      </c>
      <c r="G302">
        <f>Raw_Data!N300</f>
        <v>0</v>
      </c>
      <c r="H302">
        <f>Raw_Data!K300</f>
        <v>0</v>
      </c>
      <c r="I302">
        <f>Raw_Data!R300</f>
        <v>17</v>
      </c>
      <c r="J302">
        <f>Raw_Data!T300</f>
        <v>0.4</v>
      </c>
      <c r="K302" s="14">
        <f>Raw_Data!O300</f>
        <v>46239</v>
      </c>
    </row>
    <row r="303" spans="1:11" x14ac:dyDescent="0.3">
      <c r="A303" t="str">
        <f>Raw_Data!E301</f>
        <v>Aditya Rao</v>
      </c>
      <c r="B303" t="str">
        <f>Raw_Data!B301</f>
        <v>Outgoing</v>
      </c>
      <c r="C303" t="str">
        <f>Raw_Data!H301</f>
        <v>no-answer</v>
      </c>
      <c r="D303">
        <f>Raw_Data!L301</f>
        <v>0</v>
      </c>
      <c r="E303">
        <f>Raw_Data!M301</f>
        <v>1</v>
      </c>
      <c r="F303">
        <f>Raw_Data!I301</f>
        <v>0</v>
      </c>
      <c r="G303">
        <f>Raw_Data!N301</f>
        <v>0</v>
      </c>
      <c r="H303">
        <f>Raw_Data!K301</f>
        <v>0</v>
      </c>
      <c r="I303">
        <f>Raw_Data!R301</f>
        <v>42</v>
      </c>
      <c r="J303">
        <f>Raw_Data!T301</f>
        <v>0.4</v>
      </c>
      <c r="K303" s="14">
        <f>Raw_Data!O301</f>
        <v>46239</v>
      </c>
    </row>
    <row r="304" spans="1:11" x14ac:dyDescent="0.3">
      <c r="A304" t="str">
        <f>Raw_Data!E302</f>
        <v>Deepak Yadav</v>
      </c>
      <c r="B304" t="str">
        <f>Raw_Data!B302</f>
        <v>Outgoing</v>
      </c>
      <c r="C304" t="str">
        <f>Raw_Data!H302</f>
        <v>failed</v>
      </c>
      <c r="D304">
        <f>Raw_Data!L302</f>
        <v>0</v>
      </c>
      <c r="E304">
        <f>Raw_Data!M302</f>
        <v>1</v>
      </c>
      <c r="F304">
        <f>Raw_Data!I302</f>
        <v>0</v>
      </c>
      <c r="G304">
        <f>Raw_Data!N302</f>
        <v>0</v>
      </c>
      <c r="H304">
        <f>Raw_Data!K302</f>
        <v>0</v>
      </c>
      <c r="I304">
        <f>Raw_Data!R302</f>
        <v>32</v>
      </c>
      <c r="J304">
        <f>Raw_Data!T302</f>
        <v>0.4</v>
      </c>
      <c r="K304" s="14">
        <f>Raw_Data!O302</f>
        <v>46239</v>
      </c>
    </row>
    <row r="305" spans="1:11" x14ac:dyDescent="0.3">
      <c r="A305" t="str">
        <f>Raw_Data!E303</f>
        <v>Sneha Reddy</v>
      </c>
      <c r="B305" t="str">
        <f>Raw_Data!B303</f>
        <v>Outgoing</v>
      </c>
      <c r="C305" t="str">
        <f>Raw_Data!H303</f>
        <v>no-answer</v>
      </c>
      <c r="D305">
        <f>Raw_Data!L303</f>
        <v>0</v>
      </c>
      <c r="E305">
        <f>Raw_Data!M303</f>
        <v>1</v>
      </c>
      <c r="F305">
        <f>Raw_Data!I303</f>
        <v>0</v>
      </c>
      <c r="G305">
        <f>Raw_Data!N303</f>
        <v>0</v>
      </c>
      <c r="H305">
        <f>Raw_Data!K303</f>
        <v>0</v>
      </c>
      <c r="I305">
        <f>Raw_Data!R303</f>
        <v>41</v>
      </c>
      <c r="J305">
        <f>Raw_Data!T303</f>
        <v>0.4</v>
      </c>
      <c r="K305" s="14">
        <f>Raw_Data!O303</f>
        <v>46239</v>
      </c>
    </row>
    <row r="306" spans="1:11" x14ac:dyDescent="0.3">
      <c r="A306" t="str">
        <f>Raw_Data!E304</f>
        <v>Nandini Das</v>
      </c>
      <c r="B306" t="str">
        <f>Raw_Data!B304</f>
        <v>Outgoing</v>
      </c>
      <c r="C306" t="str">
        <f>Raw_Data!H304</f>
        <v>no-answer</v>
      </c>
      <c r="D306">
        <f>Raw_Data!L304</f>
        <v>0</v>
      </c>
      <c r="E306">
        <f>Raw_Data!M304</f>
        <v>1</v>
      </c>
      <c r="F306">
        <f>Raw_Data!I304</f>
        <v>0</v>
      </c>
      <c r="G306">
        <f>Raw_Data!N304</f>
        <v>0</v>
      </c>
      <c r="H306">
        <f>Raw_Data!K304</f>
        <v>0</v>
      </c>
      <c r="I306">
        <f>Raw_Data!R304</f>
        <v>42</v>
      </c>
      <c r="J306">
        <f>Raw_Data!T304</f>
        <v>0.4</v>
      </c>
      <c r="K306" s="14">
        <f>Raw_Data!O304</f>
        <v>46239</v>
      </c>
    </row>
    <row r="307" spans="1:11" x14ac:dyDescent="0.3">
      <c r="A307" t="str">
        <f>Raw_Data!E305</f>
        <v>Harsh Patel</v>
      </c>
      <c r="B307" t="str">
        <f>Raw_Data!B305</f>
        <v>Outgoing</v>
      </c>
      <c r="C307" t="str">
        <f>Raw_Data!H305</f>
        <v>completed</v>
      </c>
      <c r="D307">
        <f>Raw_Data!L305</f>
        <v>0</v>
      </c>
      <c r="E307">
        <f>Raw_Data!M305</f>
        <v>1</v>
      </c>
      <c r="F307">
        <f>Raw_Data!I305</f>
        <v>1</v>
      </c>
      <c r="G307">
        <f>Raw_Data!N305</f>
        <v>0</v>
      </c>
      <c r="H307">
        <f>Raw_Data!K305</f>
        <v>1</v>
      </c>
      <c r="I307">
        <f>Raw_Data!R305</f>
        <v>31</v>
      </c>
      <c r="J307">
        <f>Raw_Data!T305</f>
        <v>1.1499999999999999</v>
      </c>
      <c r="K307" s="14">
        <f>Raw_Data!O305</f>
        <v>46239</v>
      </c>
    </row>
    <row r="308" spans="1:11" x14ac:dyDescent="0.3">
      <c r="A308" t="str">
        <f>Raw_Data!E306</f>
        <v>Vivek Gupta</v>
      </c>
      <c r="B308" t="str">
        <f>Raw_Data!B306</f>
        <v>Outgoing</v>
      </c>
      <c r="C308" t="str">
        <f>Raw_Data!H306</f>
        <v>completed</v>
      </c>
      <c r="D308">
        <f>Raw_Data!L306</f>
        <v>0</v>
      </c>
      <c r="E308">
        <f>Raw_Data!M306</f>
        <v>1</v>
      </c>
      <c r="F308">
        <f>Raw_Data!I306</f>
        <v>1</v>
      </c>
      <c r="G308">
        <f>Raw_Data!N306</f>
        <v>0</v>
      </c>
      <c r="H308">
        <f>Raw_Data!K306</f>
        <v>1</v>
      </c>
      <c r="I308">
        <f>Raw_Data!R306</f>
        <v>29</v>
      </c>
      <c r="J308">
        <f>Raw_Data!T306</f>
        <v>1.1499999999999999</v>
      </c>
      <c r="K308" s="14">
        <f>Raw_Data!O306</f>
        <v>46239</v>
      </c>
    </row>
    <row r="309" spans="1:11" x14ac:dyDescent="0.3">
      <c r="A309" t="str">
        <f>Raw_Data!E307</f>
        <v>Aarav Sharma</v>
      </c>
      <c r="B309" t="str">
        <f>Raw_Data!B307</f>
        <v>Outgoing</v>
      </c>
      <c r="C309" t="str">
        <f>Raw_Data!H307</f>
        <v>completed</v>
      </c>
      <c r="D309">
        <f>Raw_Data!L307</f>
        <v>0</v>
      </c>
      <c r="E309">
        <f>Raw_Data!M307</f>
        <v>1</v>
      </c>
      <c r="F309">
        <f>Raw_Data!I307</f>
        <v>1</v>
      </c>
      <c r="G309">
        <f>Raw_Data!N307</f>
        <v>0</v>
      </c>
      <c r="H309">
        <f>Raw_Data!K307</f>
        <v>1</v>
      </c>
      <c r="I309">
        <f>Raw_Data!R307</f>
        <v>46</v>
      </c>
      <c r="J309">
        <f>Raw_Data!T307</f>
        <v>1.1499999999999999</v>
      </c>
      <c r="K309" s="14">
        <f>Raw_Data!O307</f>
        <v>46239</v>
      </c>
    </row>
    <row r="310" spans="1:11" x14ac:dyDescent="0.3">
      <c r="A310" t="str">
        <f>Raw_Data!E308</f>
        <v>Divya Rao</v>
      </c>
      <c r="B310" t="str">
        <f>Raw_Data!B308</f>
        <v>Outgoing</v>
      </c>
      <c r="C310" t="str">
        <f>Raw_Data!H308</f>
        <v>completed</v>
      </c>
      <c r="D310">
        <f>Raw_Data!L308</f>
        <v>0</v>
      </c>
      <c r="E310">
        <f>Raw_Data!M308</f>
        <v>1</v>
      </c>
      <c r="F310">
        <f>Raw_Data!I308</f>
        <v>1</v>
      </c>
      <c r="G310">
        <f>Raw_Data!N308</f>
        <v>0</v>
      </c>
      <c r="H310">
        <f>Raw_Data!K308</f>
        <v>1</v>
      </c>
      <c r="I310">
        <f>Raw_Data!R308</f>
        <v>598</v>
      </c>
      <c r="J310">
        <f>Raw_Data!T308</f>
        <v>11.5</v>
      </c>
      <c r="K310" s="14">
        <f>Raw_Data!O308</f>
        <v>46239</v>
      </c>
    </row>
    <row r="311" spans="1:11" x14ac:dyDescent="0.3">
      <c r="A311" t="str">
        <f>Raw_Data!E309</f>
        <v>Shreya Iyer</v>
      </c>
      <c r="B311" t="str">
        <f>Raw_Data!B309</f>
        <v>Outgoing</v>
      </c>
      <c r="C311" t="str">
        <f>Raw_Data!H309</f>
        <v>completed</v>
      </c>
      <c r="D311">
        <f>Raw_Data!L309</f>
        <v>0</v>
      </c>
      <c r="E311">
        <f>Raw_Data!M309</f>
        <v>1</v>
      </c>
      <c r="F311">
        <f>Raw_Data!I309</f>
        <v>1</v>
      </c>
      <c r="G311">
        <f>Raw_Data!N309</f>
        <v>0</v>
      </c>
      <c r="H311">
        <f>Raw_Data!K309</f>
        <v>1</v>
      </c>
      <c r="I311">
        <f>Raw_Data!R309</f>
        <v>265</v>
      </c>
      <c r="J311">
        <f>Raw_Data!T309</f>
        <v>5.75</v>
      </c>
      <c r="K311" s="14">
        <f>Raw_Data!O309</f>
        <v>46239</v>
      </c>
    </row>
    <row r="312" spans="1:11" x14ac:dyDescent="0.3">
      <c r="A312" t="str">
        <f>Raw_Data!E310</f>
        <v>Sneha Reddy</v>
      </c>
      <c r="B312" t="str">
        <f>Raw_Data!B310</f>
        <v>Outgoing</v>
      </c>
      <c r="C312" t="str">
        <f>Raw_Data!H310</f>
        <v>no-answer</v>
      </c>
      <c r="D312">
        <f>Raw_Data!L310</f>
        <v>0</v>
      </c>
      <c r="E312">
        <f>Raw_Data!M310</f>
        <v>1</v>
      </c>
      <c r="F312">
        <f>Raw_Data!I310</f>
        <v>0</v>
      </c>
      <c r="G312">
        <f>Raw_Data!N310</f>
        <v>0</v>
      </c>
      <c r="H312">
        <f>Raw_Data!K310</f>
        <v>0</v>
      </c>
      <c r="I312">
        <f>Raw_Data!R310</f>
        <v>40</v>
      </c>
      <c r="J312">
        <f>Raw_Data!T310</f>
        <v>0.4</v>
      </c>
      <c r="K312" s="14">
        <f>Raw_Data!O310</f>
        <v>46239</v>
      </c>
    </row>
    <row r="313" spans="1:11" x14ac:dyDescent="0.3">
      <c r="A313" t="str">
        <f>Raw_Data!E311</f>
        <v>Vivek Gupta</v>
      </c>
      <c r="B313" t="str">
        <f>Raw_Data!B311</f>
        <v>Outgoing</v>
      </c>
      <c r="C313" t="str">
        <f>Raw_Data!H311</f>
        <v>completed</v>
      </c>
      <c r="D313">
        <f>Raw_Data!L311</f>
        <v>0</v>
      </c>
      <c r="E313">
        <f>Raw_Data!M311</f>
        <v>1</v>
      </c>
      <c r="F313">
        <f>Raw_Data!I311</f>
        <v>1</v>
      </c>
      <c r="G313">
        <f>Raw_Data!N311</f>
        <v>0</v>
      </c>
      <c r="H313">
        <f>Raw_Data!K311</f>
        <v>1</v>
      </c>
      <c r="I313">
        <f>Raw_Data!R311</f>
        <v>25</v>
      </c>
      <c r="J313">
        <f>Raw_Data!T311</f>
        <v>0.8</v>
      </c>
      <c r="K313" s="14">
        <f>Raw_Data!O311</f>
        <v>46239</v>
      </c>
    </row>
    <row r="314" spans="1:11" x14ac:dyDescent="0.3">
      <c r="A314" t="str">
        <f>Raw_Data!E312</f>
        <v>Kriti Singh</v>
      </c>
      <c r="B314" t="str">
        <f>Raw_Data!B312</f>
        <v>Outgoing</v>
      </c>
      <c r="C314" t="str">
        <f>Raw_Data!H312</f>
        <v>completed</v>
      </c>
      <c r="D314">
        <f>Raw_Data!L312</f>
        <v>0</v>
      </c>
      <c r="E314">
        <f>Raw_Data!M312</f>
        <v>1</v>
      </c>
      <c r="F314">
        <f>Raw_Data!I312</f>
        <v>1</v>
      </c>
      <c r="G314">
        <f>Raw_Data!N312</f>
        <v>0</v>
      </c>
      <c r="H314">
        <f>Raw_Data!K312</f>
        <v>1</v>
      </c>
      <c r="I314">
        <f>Raw_Data!R312</f>
        <v>185</v>
      </c>
      <c r="J314">
        <f>Raw_Data!T312</f>
        <v>2.4</v>
      </c>
      <c r="K314" s="14">
        <f>Raw_Data!O312</f>
        <v>46239</v>
      </c>
    </row>
    <row r="315" spans="1:11" x14ac:dyDescent="0.3">
      <c r="A315" t="str">
        <f>Raw_Data!E313</f>
        <v>Hyderali Meer</v>
      </c>
      <c r="B315" t="str">
        <f>Raw_Data!B313</f>
        <v>Outgoing</v>
      </c>
      <c r="C315" t="str">
        <f>Raw_Data!H313</f>
        <v>completed</v>
      </c>
      <c r="D315">
        <f>Raw_Data!L313</f>
        <v>0</v>
      </c>
      <c r="E315">
        <f>Raw_Data!M313</f>
        <v>1</v>
      </c>
      <c r="F315">
        <f>Raw_Data!I313</f>
        <v>1</v>
      </c>
      <c r="G315">
        <f>Raw_Data!N313</f>
        <v>0</v>
      </c>
      <c r="H315">
        <f>Raw_Data!K313</f>
        <v>1</v>
      </c>
      <c r="I315">
        <f>Raw_Data!R313</f>
        <v>34</v>
      </c>
      <c r="J315">
        <f>Raw_Data!T313</f>
        <v>1.1499999999999999</v>
      </c>
      <c r="K315" s="14">
        <f>Raw_Data!O313</f>
        <v>46239</v>
      </c>
    </row>
    <row r="316" spans="1:11" x14ac:dyDescent="0.3">
      <c r="A316" t="str">
        <f>Raw_Data!E314</f>
        <v>Hyderali Meer</v>
      </c>
      <c r="B316" t="str">
        <f>Raw_Data!B314</f>
        <v>Outgoing</v>
      </c>
      <c r="C316" t="str">
        <f>Raw_Data!H314</f>
        <v>completed</v>
      </c>
      <c r="D316">
        <f>Raw_Data!L314</f>
        <v>0</v>
      </c>
      <c r="E316">
        <f>Raw_Data!M314</f>
        <v>1</v>
      </c>
      <c r="F316">
        <f>Raw_Data!I314</f>
        <v>1</v>
      </c>
      <c r="G316">
        <f>Raw_Data!N314</f>
        <v>0</v>
      </c>
      <c r="H316">
        <f>Raw_Data!K314</f>
        <v>1</v>
      </c>
      <c r="I316">
        <f>Raw_Data!R314</f>
        <v>18</v>
      </c>
      <c r="J316">
        <f>Raw_Data!T314</f>
        <v>1.1499999999999999</v>
      </c>
      <c r="K316" s="14">
        <f>Raw_Data!O314</f>
        <v>46239</v>
      </c>
    </row>
    <row r="317" spans="1:11" x14ac:dyDescent="0.3">
      <c r="A317" t="str">
        <f>Raw_Data!E315</f>
        <v>Hyderali Meer</v>
      </c>
      <c r="B317" t="str">
        <f>Raw_Data!B315</f>
        <v>Outgoing</v>
      </c>
      <c r="C317" t="str">
        <f>Raw_Data!H315</f>
        <v>failed</v>
      </c>
      <c r="D317">
        <f>Raw_Data!L315</f>
        <v>0</v>
      </c>
      <c r="E317">
        <f>Raw_Data!M315</f>
        <v>1</v>
      </c>
      <c r="F317">
        <f>Raw_Data!I315</f>
        <v>0</v>
      </c>
      <c r="G317">
        <f>Raw_Data!N315</f>
        <v>0</v>
      </c>
      <c r="H317">
        <f>Raw_Data!K315</f>
        <v>0</v>
      </c>
      <c r="I317">
        <f>Raw_Data!R315</f>
        <v>22</v>
      </c>
      <c r="J317">
        <f>Raw_Data!T315</f>
        <v>0.4</v>
      </c>
      <c r="K317" s="14">
        <f>Raw_Data!O315</f>
        <v>46239</v>
      </c>
    </row>
    <row r="318" spans="1:11" x14ac:dyDescent="0.3">
      <c r="A318" t="str">
        <f>Raw_Data!E316</f>
        <v>Hyderali Meer</v>
      </c>
      <c r="B318" t="str">
        <f>Raw_Data!B316</f>
        <v>Outgoing</v>
      </c>
      <c r="C318" t="str">
        <f>Raw_Data!H316</f>
        <v>failed</v>
      </c>
      <c r="D318">
        <f>Raw_Data!L316</f>
        <v>0</v>
      </c>
      <c r="E318">
        <f>Raw_Data!M316</f>
        <v>1</v>
      </c>
      <c r="F318">
        <f>Raw_Data!I316</f>
        <v>0</v>
      </c>
      <c r="G318">
        <f>Raw_Data!N316</f>
        <v>0</v>
      </c>
      <c r="H318">
        <f>Raw_Data!K316</f>
        <v>0</v>
      </c>
      <c r="I318">
        <f>Raw_Data!R316</f>
        <v>39</v>
      </c>
      <c r="J318">
        <f>Raw_Data!T316</f>
        <v>0.4</v>
      </c>
      <c r="K318" s="14">
        <f>Raw_Data!O316</f>
        <v>46239</v>
      </c>
    </row>
    <row r="319" spans="1:11" x14ac:dyDescent="0.3">
      <c r="A319" t="str">
        <f>Raw_Data!E317</f>
        <v>Hyderali Meer</v>
      </c>
      <c r="B319" t="str">
        <f>Raw_Data!B317</f>
        <v>Outgoing</v>
      </c>
      <c r="C319" t="str">
        <f>Raw_Data!H317</f>
        <v>completed</v>
      </c>
      <c r="D319">
        <f>Raw_Data!L317</f>
        <v>0</v>
      </c>
      <c r="E319">
        <f>Raw_Data!M317</f>
        <v>1</v>
      </c>
      <c r="F319">
        <f>Raw_Data!I317</f>
        <v>1</v>
      </c>
      <c r="G319">
        <f>Raw_Data!N317</f>
        <v>0</v>
      </c>
      <c r="H319">
        <f>Raw_Data!K317</f>
        <v>1</v>
      </c>
      <c r="I319">
        <f>Raw_Data!R317</f>
        <v>19</v>
      </c>
      <c r="J319">
        <f>Raw_Data!T317</f>
        <v>1.1499999999999999</v>
      </c>
      <c r="K319" s="14">
        <f>Raw_Data!O317</f>
        <v>46239</v>
      </c>
    </row>
    <row r="320" spans="1:11" x14ac:dyDescent="0.3">
      <c r="A320" t="str">
        <f>Raw_Data!E318</f>
        <v>Hyderali Meer</v>
      </c>
      <c r="B320" t="str">
        <f>Raw_Data!B318</f>
        <v>Outgoing</v>
      </c>
      <c r="C320" t="str">
        <f>Raw_Data!H318</f>
        <v>completed</v>
      </c>
      <c r="D320">
        <f>Raw_Data!L318</f>
        <v>0</v>
      </c>
      <c r="E320">
        <f>Raw_Data!M318</f>
        <v>1</v>
      </c>
      <c r="F320">
        <f>Raw_Data!I318</f>
        <v>1</v>
      </c>
      <c r="G320">
        <f>Raw_Data!N318</f>
        <v>0</v>
      </c>
      <c r="H320">
        <f>Raw_Data!K318</f>
        <v>1</v>
      </c>
      <c r="I320">
        <f>Raw_Data!R318</f>
        <v>54</v>
      </c>
      <c r="J320">
        <f>Raw_Data!T318</f>
        <v>1.1499999999999999</v>
      </c>
      <c r="K320" s="14">
        <f>Raw_Data!O318</f>
        <v>46239</v>
      </c>
    </row>
    <row r="321" spans="1:11" x14ac:dyDescent="0.3">
      <c r="A321" t="str">
        <f>Raw_Data!E319</f>
        <v>Hyderali Meer</v>
      </c>
      <c r="B321" t="str">
        <f>Raw_Data!B319</f>
        <v>Outgoing</v>
      </c>
      <c r="C321" t="str">
        <f>Raw_Data!H319</f>
        <v>failed</v>
      </c>
      <c r="D321">
        <f>Raw_Data!L319</f>
        <v>0</v>
      </c>
      <c r="E321">
        <f>Raw_Data!M319</f>
        <v>1</v>
      </c>
      <c r="F321">
        <f>Raw_Data!I319</f>
        <v>0</v>
      </c>
      <c r="G321">
        <f>Raw_Data!N319</f>
        <v>0</v>
      </c>
      <c r="H321">
        <f>Raw_Data!K319</f>
        <v>0</v>
      </c>
      <c r="I321">
        <f>Raw_Data!R319</f>
        <v>18</v>
      </c>
      <c r="J321">
        <f>Raw_Data!T319</f>
        <v>0.4</v>
      </c>
      <c r="K321" s="14">
        <f>Raw_Data!O319</f>
        <v>46239</v>
      </c>
    </row>
    <row r="322" spans="1:11" x14ac:dyDescent="0.3">
      <c r="A322" t="str">
        <f>Raw_Data!E320</f>
        <v>Harsh Patel</v>
      </c>
      <c r="B322" t="str">
        <f>Raw_Data!B320</f>
        <v>Outgoing</v>
      </c>
      <c r="C322" t="str">
        <f>Raw_Data!H320</f>
        <v>completed</v>
      </c>
      <c r="D322">
        <f>Raw_Data!L320</f>
        <v>0</v>
      </c>
      <c r="E322">
        <f>Raw_Data!M320</f>
        <v>1</v>
      </c>
      <c r="F322">
        <f>Raw_Data!I320</f>
        <v>1</v>
      </c>
      <c r="G322">
        <f>Raw_Data!N320</f>
        <v>0</v>
      </c>
      <c r="H322">
        <f>Raw_Data!K320</f>
        <v>1</v>
      </c>
      <c r="I322">
        <f>Raw_Data!R320</f>
        <v>213</v>
      </c>
      <c r="J322">
        <f>Raw_Data!T320</f>
        <v>2.8</v>
      </c>
      <c r="K322" s="14">
        <f>Raw_Data!O320</f>
        <v>46236</v>
      </c>
    </row>
    <row r="323" spans="1:11" x14ac:dyDescent="0.3">
      <c r="A323" t="str">
        <f>Raw_Data!E321</f>
        <v>Hyderali Meer</v>
      </c>
      <c r="B323" t="str">
        <f>Raw_Data!B321</f>
        <v>Outgoing</v>
      </c>
      <c r="C323" t="str">
        <f>Raw_Data!H321</f>
        <v>no-answer</v>
      </c>
      <c r="D323">
        <f>Raw_Data!L321</f>
        <v>0</v>
      </c>
      <c r="E323">
        <f>Raw_Data!M321</f>
        <v>1</v>
      </c>
      <c r="F323">
        <f>Raw_Data!I321</f>
        <v>0</v>
      </c>
      <c r="G323">
        <f>Raw_Data!N321</f>
        <v>0</v>
      </c>
      <c r="H323">
        <f>Raw_Data!K321</f>
        <v>0</v>
      </c>
      <c r="I323">
        <f>Raw_Data!R321</f>
        <v>43</v>
      </c>
      <c r="J323">
        <f>Raw_Data!T321</f>
        <v>0.4</v>
      </c>
      <c r="K323" s="14">
        <f>Raw_Data!O321</f>
        <v>46239</v>
      </c>
    </row>
    <row r="324" spans="1:11" x14ac:dyDescent="0.3">
      <c r="A324" t="str">
        <f>Raw_Data!E322</f>
        <v>Simran Kaur</v>
      </c>
      <c r="B324" t="str">
        <f>Raw_Data!B322</f>
        <v>Outgoing</v>
      </c>
      <c r="C324" t="str">
        <f>Raw_Data!H322</f>
        <v>completed</v>
      </c>
      <c r="D324">
        <f>Raw_Data!L322</f>
        <v>0</v>
      </c>
      <c r="E324">
        <f>Raw_Data!M322</f>
        <v>1</v>
      </c>
      <c r="F324">
        <f>Raw_Data!I322</f>
        <v>1</v>
      </c>
      <c r="G324">
        <f>Raw_Data!N322</f>
        <v>0</v>
      </c>
      <c r="H324">
        <f>Raw_Data!K322</f>
        <v>1</v>
      </c>
      <c r="I324">
        <f>Raw_Data!R322</f>
        <v>202</v>
      </c>
      <c r="J324">
        <f>Raw_Data!T322</f>
        <v>4.5999999999999996</v>
      </c>
      <c r="K324" s="14">
        <f>Raw_Data!O322</f>
        <v>46236</v>
      </c>
    </row>
    <row r="325" spans="1:11" x14ac:dyDescent="0.3">
      <c r="A325" t="str">
        <f>Raw_Data!E323</f>
        <v>Nirag K A</v>
      </c>
      <c r="B325" t="str">
        <f>Raw_Data!B323</f>
        <v>Outgoing</v>
      </c>
      <c r="C325" t="str">
        <f>Raw_Data!H323</f>
        <v>failed</v>
      </c>
      <c r="D325">
        <f>Raw_Data!L323</f>
        <v>0</v>
      </c>
      <c r="E325">
        <f>Raw_Data!M323</f>
        <v>1</v>
      </c>
      <c r="F325">
        <f>Raw_Data!I323</f>
        <v>0</v>
      </c>
      <c r="G325">
        <f>Raw_Data!N323</f>
        <v>0</v>
      </c>
      <c r="H325">
        <f>Raw_Data!K323</f>
        <v>0</v>
      </c>
      <c r="I325">
        <f>Raw_Data!R323</f>
        <v>23</v>
      </c>
      <c r="J325">
        <f>Raw_Data!T323</f>
        <v>0.4</v>
      </c>
      <c r="K325" s="14">
        <f>Raw_Data!O323</f>
        <v>46240</v>
      </c>
    </row>
    <row r="326" spans="1:11" x14ac:dyDescent="0.3">
      <c r="A326" t="str">
        <f>Raw_Data!E324</f>
        <v>Rahul Kumar</v>
      </c>
      <c r="B326" t="str">
        <f>Raw_Data!B324</f>
        <v>Outgoing</v>
      </c>
      <c r="C326" t="str">
        <f>Raw_Data!H324</f>
        <v>completed</v>
      </c>
      <c r="D326">
        <f>Raw_Data!L324</f>
        <v>0</v>
      </c>
      <c r="E326">
        <f>Raw_Data!M324</f>
        <v>1</v>
      </c>
      <c r="F326">
        <f>Raw_Data!I324</f>
        <v>1</v>
      </c>
      <c r="G326">
        <f>Raw_Data!N324</f>
        <v>0</v>
      </c>
      <c r="H326">
        <f>Raw_Data!K324</f>
        <v>1</v>
      </c>
      <c r="I326">
        <f>Raw_Data!R324</f>
        <v>37</v>
      </c>
      <c r="J326">
        <f>Raw_Data!T324</f>
        <v>0.8</v>
      </c>
      <c r="K326" s="14">
        <f>Raw_Data!O324</f>
        <v>46240</v>
      </c>
    </row>
    <row r="327" spans="1:11" x14ac:dyDescent="0.3">
      <c r="A327" t="str">
        <f>Raw_Data!E325</f>
        <v>Anto Abhishek</v>
      </c>
      <c r="B327" t="str">
        <f>Raw_Data!B325</f>
        <v>Outgoing</v>
      </c>
      <c r="C327" t="str">
        <f>Raw_Data!H325</f>
        <v>completed</v>
      </c>
      <c r="D327">
        <f>Raw_Data!L325</f>
        <v>0</v>
      </c>
      <c r="E327">
        <f>Raw_Data!M325</f>
        <v>1</v>
      </c>
      <c r="F327">
        <f>Raw_Data!I325</f>
        <v>1</v>
      </c>
      <c r="G327">
        <f>Raw_Data!N325</f>
        <v>0</v>
      </c>
      <c r="H327">
        <f>Raw_Data!K325</f>
        <v>1</v>
      </c>
      <c r="I327">
        <f>Raw_Data!R325</f>
        <v>197</v>
      </c>
      <c r="J327">
        <f>Raw_Data!T325</f>
        <v>3.85</v>
      </c>
      <c r="K327" s="14">
        <f>Raw_Data!O325</f>
        <v>46240</v>
      </c>
    </row>
    <row r="328" spans="1:11" x14ac:dyDescent="0.3">
      <c r="A328" t="str">
        <f>Raw_Data!E326</f>
        <v>Nirag K A</v>
      </c>
      <c r="B328" t="str">
        <f>Raw_Data!B326</f>
        <v>Outgoing</v>
      </c>
      <c r="C328" t="str">
        <f>Raw_Data!H326</f>
        <v>failed</v>
      </c>
      <c r="D328">
        <f>Raw_Data!L326</f>
        <v>0</v>
      </c>
      <c r="E328">
        <f>Raw_Data!M326</f>
        <v>1</v>
      </c>
      <c r="F328">
        <f>Raw_Data!I326</f>
        <v>0</v>
      </c>
      <c r="G328">
        <f>Raw_Data!N326</f>
        <v>0</v>
      </c>
      <c r="H328">
        <f>Raw_Data!K326</f>
        <v>0</v>
      </c>
      <c r="I328">
        <f>Raw_Data!R326</f>
        <v>21</v>
      </c>
      <c r="J328">
        <f>Raw_Data!T326</f>
        <v>0.4</v>
      </c>
      <c r="K328" s="14">
        <f>Raw_Data!O326</f>
        <v>46240</v>
      </c>
    </row>
    <row r="329" spans="1:11" x14ac:dyDescent="0.3">
      <c r="A329" t="str">
        <f>Raw_Data!E327</f>
        <v>Aditya Rao</v>
      </c>
      <c r="B329" t="str">
        <f>Raw_Data!B327</f>
        <v>Outgoing</v>
      </c>
      <c r="C329" t="str">
        <f>Raw_Data!H327</f>
        <v>no-answer</v>
      </c>
      <c r="D329">
        <f>Raw_Data!L327</f>
        <v>0</v>
      </c>
      <c r="E329">
        <f>Raw_Data!M327</f>
        <v>1</v>
      </c>
      <c r="F329">
        <f>Raw_Data!I327</f>
        <v>0</v>
      </c>
      <c r="G329">
        <f>Raw_Data!N327</f>
        <v>0</v>
      </c>
      <c r="H329">
        <f>Raw_Data!K327</f>
        <v>0</v>
      </c>
      <c r="I329">
        <f>Raw_Data!R327</f>
        <v>43</v>
      </c>
      <c r="J329">
        <f>Raw_Data!T327</f>
        <v>0.4</v>
      </c>
      <c r="K329" s="14">
        <f>Raw_Data!O327</f>
        <v>46236</v>
      </c>
    </row>
    <row r="330" spans="1:11" x14ac:dyDescent="0.3">
      <c r="A330" t="str">
        <f>Raw_Data!E328</f>
        <v>Pallavi Rao</v>
      </c>
      <c r="B330" t="str">
        <f>Raw_Data!B328</f>
        <v>Outgoing</v>
      </c>
      <c r="C330" t="str">
        <f>Raw_Data!H328</f>
        <v>completed</v>
      </c>
      <c r="D330">
        <f>Raw_Data!L328</f>
        <v>0</v>
      </c>
      <c r="E330">
        <f>Raw_Data!M328</f>
        <v>1</v>
      </c>
      <c r="F330">
        <f>Raw_Data!I328</f>
        <v>1</v>
      </c>
      <c r="G330">
        <f>Raw_Data!N328</f>
        <v>0</v>
      </c>
      <c r="H330">
        <f>Raw_Data!K328</f>
        <v>1</v>
      </c>
      <c r="I330">
        <f>Raw_Data!R328</f>
        <v>81</v>
      </c>
      <c r="J330">
        <f>Raw_Data!T328</f>
        <v>1.2</v>
      </c>
      <c r="K330" s="14">
        <f>Raw_Data!O328</f>
        <v>46236</v>
      </c>
    </row>
    <row r="331" spans="1:11" x14ac:dyDescent="0.3">
      <c r="A331" t="str">
        <f>Raw_Data!E329</f>
        <v>Nandini Das</v>
      </c>
      <c r="B331" t="str">
        <f>Raw_Data!B329</f>
        <v>Outgoing</v>
      </c>
      <c r="C331" t="str">
        <f>Raw_Data!H329</f>
        <v>failed</v>
      </c>
      <c r="D331">
        <f>Raw_Data!L329</f>
        <v>0</v>
      </c>
      <c r="E331">
        <f>Raw_Data!M329</f>
        <v>1</v>
      </c>
      <c r="F331">
        <f>Raw_Data!I329</f>
        <v>0</v>
      </c>
      <c r="G331">
        <f>Raw_Data!N329</f>
        <v>0</v>
      </c>
      <c r="H331">
        <f>Raw_Data!K329</f>
        <v>0</v>
      </c>
      <c r="I331">
        <f>Raw_Data!R329</f>
        <v>49</v>
      </c>
      <c r="J331">
        <f>Raw_Data!T329</f>
        <v>0.4</v>
      </c>
      <c r="K331" s="14">
        <f>Raw_Data!O329</f>
        <v>46236</v>
      </c>
    </row>
    <row r="332" spans="1:11" x14ac:dyDescent="0.3">
      <c r="A332" t="str">
        <f>Raw_Data!E330</f>
        <v>Sakshi Joshi</v>
      </c>
      <c r="B332" t="str">
        <f>Raw_Data!B330</f>
        <v>Outgoing</v>
      </c>
      <c r="C332" t="str">
        <f>Raw_Data!H330</f>
        <v>completed</v>
      </c>
      <c r="D332">
        <f>Raw_Data!L330</f>
        <v>0</v>
      </c>
      <c r="E332">
        <f>Raw_Data!M330</f>
        <v>1</v>
      </c>
      <c r="F332">
        <f>Raw_Data!I330</f>
        <v>1</v>
      </c>
      <c r="G332">
        <f>Raw_Data!N330</f>
        <v>0</v>
      </c>
      <c r="H332">
        <f>Raw_Data!K330</f>
        <v>1</v>
      </c>
      <c r="I332">
        <f>Raw_Data!R330</f>
        <v>63</v>
      </c>
      <c r="J332">
        <f>Raw_Data!T330</f>
        <v>0.8</v>
      </c>
      <c r="K332" s="14">
        <f>Raw_Data!O330</f>
        <v>46236</v>
      </c>
    </row>
    <row r="333" spans="1:11" x14ac:dyDescent="0.3">
      <c r="A333" t="str">
        <f>Raw_Data!E331</f>
        <v>Tanvi Reddy</v>
      </c>
      <c r="B333" t="str">
        <f>Raw_Data!B331</f>
        <v>Outgoing</v>
      </c>
      <c r="C333" t="str">
        <f>Raw_Data!H331</f>
        <v>completed</v>
      </c>
      <c r="D333">
        <f>Raw_Data!L331</f>
        <v>0</v>
      </c>
      <c r="E333">
        <f>Raw_Data!M331</f>
        <v>1</v>
      </c>
      <c r="F333">
        <f>Raw_Data!I331</f>
        <v>1</v>
      </c>
      <c r="G333">
        <f>Raw_Data!N331</f>
        <v>0</v>
      </c>
      <c r="H333">
        <f>Raw_Data!K331</f>
        <v>1</v>
      </c>
      <c r="I333">
        <f>Raw_Data!R331</f>
        <v>43</v>
      </c>
      <c r="J333">
        <f>Raw_Data!T331</f>
        <v>0.8</v>
      </c>
      <c r="K333" s="14">
        <f>Raw_Data!O331</f>
        <v>46236</v>
      </c>
    </row>
    <row r="334" spans="1:11" x14ac:dyDescent="0.3">
      <c r="A334" t="str">
        <f>Raw_Data!E332</f>
        <v>Priya Nair</v>
      </c>
      <c r="B334" t="str">
        <f>Raw_Data!B332</f>
        <v>Outgoing</v>
      </c>
      <c r="C334" t="str">
        <f>Raw_Data!H332</f>
        <v>completed</v>
      </c>
      <c r="D334">
        <f>Raw_Data!L332</f>
        <v>0</v>
      </c>
      <c r="E334">
        <f>Raw_Data!M332</f>
        <v>1</v>
      </c>
      <c r="F334">
        <f>Raw_Data!I332</f>
        <v>1</v>
      </c>
      <c r="G334">
        <f>Raw_Data!N332</f>
        <v>0</v>
      </c>
      <c r="H334">
        <f>Raw_Data!K332</f>
        <v>1</v>
      </c>
      <c r="I334">
        <f>Raw_Data!R332</f>
        <v>72</v>
      </c>
      <c r="J334">
        <f>Raw_Data!T332</f>
        <v>1.2</v>
      </c>
      <c r="K334" s="14">
        <f>Raw_Data!O332</f>
        <v>46236</v>
      </c>
    </row>
    <row r="335" spans="1:11" x14ac:dyDescent="0.3">
      <c r="A335" t="str">
        <f>Raw_Data!E333</f>
        <v>Aditya Rao</v>
      </c>
      <c r="B335" t="str">
        <f>Raw_Data!B333</f>
        <v>Outgoing</v>
      </c>
      <c r="C335" t="str">
        <f>Raw_Data!H333</f>
        <v>completed</v>
      </c>
      <c r="D335">
        <f>Raw_Data!L333</f>
        <v>0</v>
      </c>
      <c r="E335">
        <f>Raw_Data!M333</f>
        <v>1</v>
      </c>
      <c r="F335">
        <f>Raw_Data!I333</f>
        <v>1</v>
      </c>
      <c r="G335">
        <f>Raw_Data!N333</f>
        <v>0</v>
      </c>
      <c r="H335">
        <f>Raw_Data!K333</f>
        <v>1</v>
      </c>
      <c r="I335">
        <f>Raw_Data!R333</f>
        <v>17</v>
      </c>
      <c r="J335">
        <f>Raw_Data!T333</f>
        <v>1.1499999999999999</v>
      </c>
      <c r="K335" s="14">
        <f>Raw_Data!O333</f>
        <v>46236</v>
      </c>
    </row>
    <row r="336" spans="1:11" x14ac:dyDescent="0.3">
      <c r="A336" t="str">
        <f>Raw_Data!E334</f>
        <v>Ananya Sharma</v>
      </c>
      <c r="B336" t="str">
        <f>Raw_Data!B334</f>
        <v>Outgoing</v>
      </c>
      <c r="C336" t="str">
        <f>Raw_Data!H334</f>
        <v>completed</v>
      </c>
      <c r="D336">
        <f>Raw_Data!L334</f>
        <v>0</v>
      </c>
      <c r="E336">
        <f>Raw_Data!M334</f>
        <v>1</v>
      </c>
      <c r="F336">
        <f>Raw_Data!I334</f>
        <v>1</v>
      </c>
      <c r="G336">
        <f>Raw_Data!N334</f>
        <v>0</v>
      </c>
      <c r="H336">
        <f>Raw_Data!K334</f>
        <v>1</v>
      </c>
      <c r="I336">
        <f>Raw_Data!R334</f>
        <v>99</v>
      </c>
      <c r="J336">
        <f>Raw_Data!T334</f>
        <v>1.6</v>
      </c>
      <c r="K336" s="14">
        <f>Raw_Data!O334</f>
        <v>46236</v>
      </c>
    </row>
    <row r="337" spans="1:11" x14ac:dyDescent="0.3">
      <c r="A337" t="str">
        <f>Raw_Data!E335</f>
        <v>Akash Singh</v>
      </c>
      <c r="B337" t="str">
        <f>Raw_Data!B335</f>
        <v>Outgoing</v>
      </c>
      <c r="C337" t="str">
        <f>Raw_Data!H335</f>
        <v>no-answer</v>
      </c>
      <c r="D337">
        <f>Raw_Data!L335</f>
        <v>0</v>
      </c>
      <c r="E337">
        <f>Raw_Data!M335</f>
        <v>1</v>
      </c>
      <c r="F337">
        <f>Raw_Data!I335</f>
        <v>0</v>
      </c>
      <c r="G337">
        <f>Raw_Data!N335</f>
        <v>0</v>
      </c>
      <c r="H337">
        <f>Raw_Data!K335</f>
        <v>0</v>
      </c>
      <c r="I337">
        <f>Raw_Data!R335</f>
        <v>46</v>
      </c>
      <c r="J337">
        <f>Raw_Data!T335</f>
        <v>0.4</v>
      </c>
      <c r="K337" s="14">
        <f>Raw_Data!O335</f>
        <v>46236</v>
      </c>
    </row>
    <row r="338" spans="1:11" x14ac:dyDescent="0.3">
      <c r="A338" t="str">
        <f>Raw_Data!E336</f>
        <v>Deepak Yadav</v>
      </c>
      <c r="B338" t="str">
        <f>Raw_Data!B336</f>
        <v>Outgoing</v>
      </c>
      <c r="C338" t="str">
        <f>Raw_Data!H336</f>
        <v>completed</v>
      </c>
      <c r="D338">
        <f>Raw_Data!L336</f>
        <v>0</v>
      </c>
      <c r="E338">
        <f>Raw_Data!M336</f>
        <v>1</v>
      </c>
      <c r="F338">
        <f>Raw_Data!I336</f>
        <v>1</v>
      </c>
      <c r="G338">
        <f>Raw_Data!N336</f>
        <v>0</v>
      </c>
      <c r="H338">
        <f>Raw_Data!K336</f>
        <v>1</v>
      </c>
      <c r="I338">
        <f>Raw_Data!R336</f>
        <v>153</v>
      </c>
      <c r="J338">
        <f>Raw_Data!T336</f>
        <v>2.4</v>
      </c>
      <c r="K338" s="14">
        <f>Raw_Data!O336</f>
        <v>46236</v>
      </c>
    </row>
    <row r="339" spans="1:11" x14ac:dyDescent="0.3">
      <c r="A339" t="str">
        <f>Raw_Data!E337</f>
        <v>Karan Malhotra</v>
      </c>
      <c r="B339" t="str">
        <f>Raw_Data!B337</f>
        <v>Outgoing</v>
      </c>
      <c r="C339" t="str">
        <f>Raw_Data!H337</f>
        <v>failed</v>
      </c>
      <c r="D339">
        <f>Raw_Data!L337</f>
        <v>0</v>
      </c>
      <c r="E339">
        <f>Raw_Data!M337</f>
        <v>1</v>
      </c>
      <c r="F339">
        <f>Raw_Data!I337</f>
        <v>0</v>
      </c>
      <c r="G339">
        <f>Raw_Data!N337</f>
        <v>0</v>
      </c>
      <c r="H339">
        <f>Raw_Data!K337</f>
        <v>0</v>
      </c>
      <c r="I339">
        <f>Raw_Data!R337</f>
        <v>20</v>
      </c>
      <c r="J339">
        <f>Raw_Data!T337</f>
        <v>0.4</v>
      </c>
      <c r="K339" s="14">
        <f>Raw_Data!O337</f>
        <v>46237</v>
      </c>
    </row>
    <row r="340" spans="1:11" x14ac:dyDescent="0.3">
      <c r="A340" t="str">
        <f>Raw_Data!E338</f>
        <v>Priya Nair</v>
      </c>
      <c r="B340" t="str">
        <f>Raw_Data!B338</f>
        <v>Outgoing</v>
      </c>
      <c r="C340" t="str">
        <f>Raw_Data!H338</f>
        <v>failed</v>
      </c>
      <c r="D340">
        <f>Raw_Data!L338</f>
        <v>0</v>
      </c>
      <c r="E340">
        <f>Raw_Data!M338</f>
        <v>1</v>
      </c>
      <c r="F340">
        <f>Raw_Data!I338</f>
        <v>0</v>
      </c>
      <c r="G340">
        <f>Raw_Data!N338</f>
        <v>0</v>
      </c>
      <c r="H340">
        <f>Raw_Data!K338</f>
        <v>0</v>
      </c>
      <c r="I340">
        <f>Raw_Data!R338</f>
        <v>20</v>
      </c>
      <c r="J340">
        <f>Raw_Data!T338</f>
        <v>0.4</v>
      </c>
      <c r="K340" s="14">
        <f>Raw_Data!O338</f>
        <v>46237</v>
      </c>
    </row>
    <row r="341" spans="1:11" x14ac:dyDescent="0.3">
      <c r="A341" t="str">
        <f>Raw_Data!E339</f>
        <v>Neha Gupta</v>
      </c>
      <c r="B341" t="str">
        <f>Raw_Data!B339</f>
        <v>Outgoing</v>
      </c>
      <c r="C341" t="str">
        <f>Raw_Data!H339</f>
        <v>failed</v>
      </c>
      <c r="D341">
        <f>Raw_Data!L339</f>
        <v>0</v>
      </c>
      <c r="E341">
        <f>Raw_Data!M339</f>
        <v>1</v>
      </c>
      <c r="F341">
        <f>Raw_Data!I339</f>
        <v>0</v>
      </c>
      <c r="G341">
        <f>Raw_Data!N339</f>
        <v>0</v>
      </c>
      <c r="H341">
        <f>Raw_Data!K339</f>
        <v>0</v>
      </c>
      <c r="I341">
        <f>Raw_Data!R339</f>
        <v>17</v>
      </c>
      <c r="J341">
        <f>Raw_Data!T339</f>
        <v>0.4</v>
      </c>
      <c r="K341" s="14">
        <f>Raw_Data!O339</f>
        <v>46237</v>
      </c>
    </row>
    <row r="342" spans="1:11" x14ac:dyDescent="0.3">
      <c r="A342" t="str">
        <f>Raw_Data!E340</f>
        <v>Sanjay Nair</v>
      </c>
      <c r="B342" t="str">
        <f>Raw_Data!B340</f>
        <v>Outgoing</v>
      </c>
      <c r="C342" t="str">
        <f>Raw_Data!H340</f>
        <v>failed</v>
      </c>
      <c r="D342">
        <f>Raw_Data!L340</f>
        <v>0</v>
      </c>
      <c r="E342">
        <f>Raw_Data!M340</f>
        <v>1</v>
      </c>
      <c r="F342">
        <f>Raw_Data!I340</f>
        <v>0</v>
      </c>
      <c r="G342">
        <f>Raw_Data!N340</f>
        <v>0</v>
      </c>
      <c r="H342">
        <f>Raw_Data!K340</f>
        <v>0</v>
      </c>
      <c r="I342">
        <f>Raw_Data!R340</f>
        <v>37</v>
      </c>
      <c r="J342">
        <f>Raw_Data!T340</f>
        <v>0.4</v>
      </c>
      <c r="K342" s="14">
        <f>Raw_Data!O340</f>
        <v>46237</v>
      </c>
    </row>
    <row r="343" spans="1:11" x14ac:dyDescent="0.3">
      <c r="A343" t="str">
        <f>Raw_Data!E341</f>
        <v>Sneha Reddy</v>
      </c>
      <c r="B343" t="str">
        <f>Raw_Data!B341</f>
        <v>Outgoing</v>
      </c>
      <c r="C343" t="str">
        <f>Raw_Data!H341</f>
        <v>no-answer</v>
      </c>
      <c r="D343">
        <f>Raw_Data!L341</f>
        <v>0</v>
      </c>
      <c r="E343">
        <f>Raw_Data!M341</f>
        <v>1</v>
      </c>
      <c r="F343">
        <f>Raw_Data!I341</f>
        <v>0</v>
      </c>
      <c r="G343">
        <f>Raw_Data!N341</f>
        <v>0</v>
      </c>
      <c r="H343">
        <f>Raw_Data!K341</f>
        <v>0</v>
      </c>
      <c r="I343">
        <f>Raw_Data!R341</f>
        <v>39</v>
      </c>
      <c r="J343">
        <f>Raw_Data!T341</f>
        <v>0.4</v>
      </c>
      <c r="K343" s="14">
        <f>Raw_Data!O341</f>
        <v>46237</v>
      </c>
    </row>
    <row r="344" spans="1:11" x14ac:dyDescent="0.3">
      <c r="A344" t="str">
        <f>Raw_Data!E342</f>
        <v>Gaurav Mishra</v>
      </c>
      <c r="B344" t="str">
        <f>Raw_Data!B342</f>
        <v>Outgoing</v>
      </c>
      <c r="C344" t="str">
        <f>Raw_Data!H342</f>
        <v>failed</v>
      </c>
      <c r="D344">
        <f>Raw_Data!L342</f>
        <v>0</v>
      </c>
      <c r="E344">
        <f>Raw_Data!M342</f>
        <v>1</v>
      </c>
      <c r="F344">
        <f>Raw_Data!I342</f>
        <v>0</v>
      </c>
      <c r="G344">
        <f>Raw_Data!N342</f>
        <v>0</v>
      </c>
      <c r="H344">
        <f>Raw_Data!K342</f>
        <v>0</v>
      </c>
      <c r="I344">
        <f>Raw_Data!R342</f>
        <v>40</v>
      </c>
      <c r="J344">
        <f>Raw_Data!T342</f>
        <v>0.4</v>
      </c>
      <c r="K344" s="14">
        <f>Raw_Data!O342</f>
        <v>46237</v>
      </c>
    </row>
    <row r="345" spans="1:11" x14ac:dyDescent="0.3">
      <c r="A345" t="str">
        <f>Raw_Data!E343</f>
        <v>Tanvi Reddy</v>
      </c>
      <c r="B345" t="str">
        <f>Raw_Data!B343</f>
        <v>Outgoing</v>
      </c>
      <c r="C345" t="str">
        <f>Raw_Data!H343</f>
        <v>completed</v>
      </c>
      <c r="D345">
        <f>Raw_Data!L343</f>
        <v>0</v>
      </c>
      <c r="E345">
        <f>Raw_Data!M343</f>
        <v>1</v>
      </c>
      <c r="F345">
        <f>Raw_Data!I343</f>
        <v>1</v>
      </c>
      <c r="G345">
        <f>Raw_Data!N343</f>
        <v>0</v>
      </c>
      <c r="H345">
        <f>Raw_Data!K343</f>
        <v>1</v>
      </c>
      <c r="I345">
        <f>Raw_Data!R343</f>
        <v>62</v>
      </c>
      <c r="J345">
        <f>Raw_Data!T343</f>
        <v>0.8</v>
      </c>
      <c r="K345" s="14">
        <f>Raw_Data!O343</f>
        <v>46237</v>
      </c>
    </row>
    <row r="346" spans="1:11" x14ac:dyDescent="0.3">
      <c r="A346" t="str">
        <f>Raw_Data!E344</f>
        <v>Deepak Yadav</v>
      </c>
      <c r="B346" t="str">
        <f>Raw_Data!B344</f>
        <v>Outgoing</v>
      </c>
      <c r="C346" t="str">
        <f>Raw_Data!H344</f>
        <v>no-answer</v>
      </c>
      <c r="D346">
        <f>Raw_Data!L344</f>
        <v>0</v>
      </c>
      <c r="E346">
        <f>Raw_Data!M344</f>
        <v>1</v>
      </c>
      <c r="F346">
        <f>Raw_Data!I344</f>
        <v>0</v>
      </c>
      <c r="G346">
        <f>Raw_Data!N344</f>
        <v>0</v>
      </c>
      <c r="H346">
        <f>Raw_Data!K344</f>
        <v>0</v>
      </c>
      <c r="I346">
        <f>Raw_Data!R344</f>
        <v>42</v>
      </c>
      <c r="J346">
        <f>Raw_Data!T344</f>
        <v>0.4</v>
      </c>
      <c r="K346" s="14">
        <f>Raw_Data!O344</f>
        <v>46237</v>
      </c>
    </row>
    <row r="347" spans="1:11" x14ac:dyDescent="0.3">
      <c r="A347" t="str">
        <f>Raw_Data!E345</f>
        <v>Kavya Menon</v>
      </c>
      <c r="B347" t="str">
        <f>Raw_Data!B345</f>
        <v>Outgoing</v>
      </c>
      <c r="C347" t="str">
        <f>Raw_Data!H345</f>
        <v>completed</v>
      </c>
      <c r="D347">
        <f>Raw_Data!L345</f>
        <v>0</v>
      </c>
      <c r="E347">
        <f>Raw_Data!M345</f>
        <v>1</v>
      </c>
      <c r="F347">
        <f>Raw_Data!I345</f>
        <v>1</v>
      </c>
      <c r="G347">
        <f>Raw_Data!N345</f>
        <v>0</v>
      </c>
      <c r="H347">
        <f>Raw_Data!K345</f>
        <v>1</v>
      </c>
      <c r="I347">
        <f>Raw_Data!R345</f>
        <v>424</v>
      </c>
      <c r="J347">
        <f>Raw_Data!T345</f>
        <v>8.0500000000000007</v>
      </c>
      <c r="K347" s="14">
        <f>Raw_Data!O345</f>
        <v>46237</v>
      </c>
    </row>
    <row r="348" spans="1:11" x14ac:dyDescent="0.3">
      <c r="A348" t="str">
        <f>Raw_Data!E346</f>
        <v>Rohit Das</v>
      </c>
      <c r="B348" t="str">
        <f>Raw_Data!B346</f>
        <v>Outgoing</v>
      </c>
      <c r="C348" t="str">
        <f>Raw_Data!H346</f>
        <v>failed</v>
      </c>
      <c r="D348">
        <f>Raw_Data!L346</f>
        <v>0</v>
      </c>
      <c r="E348">
        <f>Raw_Data!M346</f>
        <v>1</v>
      </c>
      <c r="F348">
        <f>Raw_Data!I346</f>
        <v>0</v>
      </c>
      <c r="G348">
        <f>Raw_Data!N346</f>
        <v>0</v>
      </c>
      <c r="H348">
        <f>Raw_Data!K346</f>
        <v>0</v>
      </c>
      <c r="I348">
        <f>Raw_Data!R346</f>
        <v>14</v>
      </c>
      <c r="J348">
        <f>Raw_Data!T346</f>
        <v>0</v>
      </c>
      <c r="K348" s="14">
        <f>Raw_Data!O346</f>
        <v>46237</v>
      </c>
    </row>
    <row r="349" spans="1:11" x14ac:dyDescent="0.3">
      <c r="A349" t="str">
        <f>Raw_Data!E347</f>
        <v>Rohan Mehta</v>
      </c>
      <c r="B349" t="str">
        <f>Raw_Data!B347</f>
        <v>Outgoing</v>
      </c>
      <c r="C349" t="str">
        <f>Raw_Data!H347</f>
        <v>completed</v>
      </c>
      <c r="D349">
        <f>Raw_Data!L347</f>
        <v>0</v>
      </c>
      <c r="E349">
        <f>Raw_Data!M347</f>
        <v>1</v>
      </c>
      <c r="F349">
        <f>Raw_Data!I347</f>
        <v>1</v>
      </c>
      <c r="G349">
        <f>Raw_Data!N347</f>
        <v>0</v>
      </c>
      <c r="H349">
        <f>Raw_Data!K347</f>
        <v>1</v>
      </c>
      <c r="I349">
        <f>Raw_Data!R347</f>
        <v>76</v>
      </c>
      <c r="J349">
        <f>Raw_Data!T347</f>
        <v>1.2</v>
      </c>
      <c r="K349" s="14">
        <f>Raw_Data!O347</f>
        <v>46237</v>
      </c>
    </row>
    <row r="350" spans="1:11" x14ac:dyDescent="0.3">
      <c r="A350" t="str">
        <f>Raw_Data!E348</f>
        <v>Kavya Menon</v>
      </c>
      <c r="B350" t="str">
        <f>Raw_Data!B348</f>
        <v>Outgoing</v>
      </c>
      <c r="C350" t="str">
        <f>Raw_Data!H348</f>
        <v>no-answer</v>
      </c>
      <c r="D350">
        <f>Raw_Data!L348</f>
        <v>0</v>
      </c>
      <c r="E350">
        <f>Raw_Data!M348</f>
        <v>1</v>
      </c>
      <c r="F350">
        <f>Raw_Data!I348</f>
        <v>0</v>
      </c>
      <c r="G350">
        <f>Raw_Data!N348</f>
        <v>0</v>
      </c>
      <c r="H350">
        <f>Raw_Data!K348</f>
        <v>0</v>
      </c>
      <c r="I350">
        <f>Raw_Data!R348</f>
        <v>40</v>
      </c>
      <c r="J350">
        <f>Raw_Data!T348</f>
        <v>0.4</v>
      </c>
      <c r="K350" s="14">
        <f>Raw_Data!O348</f>
        <v>46237</v>
      </c>
    </row>
    <row r="351" spans="1:11" x14ac:dyDescent="0.3">
      <c r="A351" t="str">
        <f>Raw_Data!E349</f>
        <v>Sanjay Nair</v>
      </c>
      <c r="B351" t="str">
        <f>Raw_Data!B349</f>
        <v>Outgoing</v>
      </c>
      <c r="C351" t="str">
        <f>Raw_Data!H349</f>
        <v>completed</v>
      </c>
      <c r="D351">
        <f>Raw_Data!L349</f>
        <v>0</v>
      </c>
      <c r="E351">
        <f>Raw_Data!M349</f>
        <v>1</v>
      </c>
      <c r="F351">
        <f>Raw_Data!I349</f>
        <v>1</v>
      </c>
      <c r="G351">
        <f>Raw_Data!N349</f>
        <v>0</v>
      </c>
      <c r="H351">
        <f>Raw_Data!K349</f>
        <v>1</v>
      </c>
      <c r="I351">
        <f>Raw_Data!R349</f>
        <v>35</v>
      </c>
      <c r="J351">
        <f>Raw_Data!T349</f>
        <v>0</v>
      </c>
      <c r="K351" s="14">
        <f>Raw_Data!O349</f>
        <v>46237</v>
      </c>
    </row>
    <row r="352" spans="1:11" x14ac:dyDescent="0.3">
      <c r="A352" t="str">
        <f>Raw_Data!E350</f>
        <v>Vivek Gupta</v>
      </c>
      <c r="B352" t="str">
        <f>Raw_Data!B350</f>
        <v>Outgoing</v>
      </c>
      <c r="C352" t="str">
        <f>Raw_Data!H350</f>
        <v>no-answer</v>
      </c>
      <c r="D352">
        <f>Raw_Data!L350</f>
        <v>0</v>
      </c>
      <c r="E352">
        <f>Raw_Data!M350</f>
        <v>1</v>
      </c>
      <c r="F352">
        <f>Raw_Data!I350</f>
        <v>0</v>
      </c>
      <c r="G352">
        <f>Raw_Data!N350</f>
        <v>0</v>
      </c>
      <c r="H352">
        <f>Raw_Data!K350</f>
        <v>0</v>
      </c>
      <c r="I352">
        <f>Raw_Data!R350</f>
        <v>46</v>
      </c>
      <c r="J352">
        <f>Raw_Data!T350</f>
        <v>0.4</v>
      </c>
      <c r="K352" s="14">
        <f>Raw_Data!O350</f>
        <v>46237</v>
      </c>
    </row>
    <row r="353" spans="1:11" x14ac:dyDescent="0.3">
      <c r="A353" t="str">
        <f>Raw_Data!E351</f>
        <v>Aditi Shah</v>
      </c>
      <c r="B353" t="str">
        <f>Raw_Data!B351</f>
        <v>Outgoing</v>
      </c>
      <c r="C353" t="str">
        <f>Raw_Data!H351</f>
        <v>completed</v>
      </c>
      <c r="D353">
        <f>Raw_Data!L351</f>
        <v>0</v>
      </c>
      <c r="E353">
        <f>Raw_Data!M351</f>
        <v>1</v>
      </c>
      <c r="F353">
        <f>Raw_Data!I351</f>
        <v>1</v>
      </c>
      <c r="G353">
        <f>Raw_Data!N351</f>
        <v>0</v>
      </c>
      <c r="H353">
        <f>Raw_Data!K351</f>
        <v>1</v>
      </c>
      <c r="I353">
        <f>Raw_Data!R351</f>
        <v>56</v>
      </c>
      <c r="J353">
        <f>Raw_Data!T351</f>
        <v>1.1499999999999999</v>
      </c>
      <c r="K353" s="14">
        <f>Raw_Data!O351</f>
        <v>46237</v>
      </c>
    </row>
    <row r="354" spans="1:11" x14ac:dyDescent="0.3">
      <c r="A354" t="str">
        <f>Raw_Data!E352</f>
        <v>Nandini Das</v>
      </c>
      <c r="B354" t="str">
        <f>Raw_Data!B352</f>
        <v>Outgoing</v>
      </c>
      <c r="C354" t="str">
        <f>Raw_Data!H352</f>
        <v>failed</v>
      </c>
      <c r="D354">
        <f>Raw_Data!L352</f>
        <v>0</v>
      </c>
      <c r="E354">
        <f>Raw_Data!M352</f>
        <v>1</v>
      </c>
      <c r="F354">
        <f>Raw_Data!I352</f>
        <v>0</v>
      </c>
      <c r="G354">
        <f>Raw_Data!N352</f>
        <v>0</v>
      </c>
      <c r="H354">
        <f>Raw_Data!K352</f>
        <v>0</v>
      </c>
      <c r="I354">
        <f>Raw_Data!R352</f>
        <v>21</v>
      </c>
      <c r="J354">
        <f>Raw_Data!T352</f>
        <v>0.4</v>
      </c>
      <c r="K354" s="14">
        <f>Raw_Data!O352</f>
        <v>46237</v>
      </c>
    </row>
    <row r="355" spans="1:11" x14ac:dyDescent="0.3">
      <c r="A355" t="str">
        <f>Raw_Data!E353</f>
        <v>Priya Nair</v>
      </c>
      <c r="B355" t="str">
        <f>Raw_Data!B353</f>
        <v>Outgoing</v>
      </c>
      <c r="C355" t="str">
        <f>Raw_Data!H353</f>
        <v>completed</v>
      </c>
      <c r="D355">
        <f>Raw_Data!L353</f>
        <v>0</v>
      </c>
      <c r="E355">
        <f>Raw_Data!M353</f>
        <v>1</v>
      </c>
      <c r="F355">
        <f>Raw_Data!I353</f>
        <v>1</v>
      </c>
      <c r="G355">
        <f>Raw_Data!N353</f>
        <v>0</v>
      </c>
      <c r="H355">
        <f>Raw_Data!K353</f>
        <v>1</v>
      </c>
      <c r="I355">
        <f>Raw_Data!R353</f>
        <v>35</v>
      </c>
      <c r="J355">
        <f>Raw_Data!T353</f>
        <v>0.8</v>
      </c>
      <c r="K355" s="14">
        <f>Raw_Data!O353</f>
        <v>46237</v>
      </c>
    </row>
    <row r="356" spans="1:11" x14ac:dyDescent="0.3">
      <c r="A356" t="str">
        <f>Raw_Data!E354</f>
        <v>Rohan Mehta</v>
      </c>
      <c r="B356" t="str">
        <f>Raw_Data!B354</f>
        <v>Outgoing</v>
      </c>
      <c r="C356" t="str">
        <f>Raw_Data!H354</f>
        <v>completed</v>
      </c>
      <c r="D356">
        <f>Raw_Data!L354</f>
        <v>0</v>
      </c>
      <c r="E356">
        <f>Raw_Data!M354</f>
        <v>1</v>
      </c>
      <c r="F356">
        <f>Raw_Data!I354</f>
        <v>1</v>
      </c>
      <c r="G356">
        <f>Raw_Data!N354</f>
        <v>0</v>
      </c>
      <c r="H356">
        <f>Raw_Data!K354</f>
        <v>1</v>
      </c>
      <c r="I356">
        <f>Raw_Data!R354</f>
        <v>83</v>
      </c>
      <c r="J356">
        <f>Raw_Data!T354</f>
        <v>1.2</v>
      </c>
      <c r="K356" s="14">
        <f>Raw_Data!O354</f>
        <v>46237</v>
      </c>
    </row>
    <row r="357" spans="1:11" x14ac:dyDescent="0.3">
      <c r="A357" t="str">
        <f>Raw_Data!E355</f>
        <v>Aditi Shah</v>
      </c>
      <c r="B357" t="str">
        <f>Raw_Data!B355</f>
        <v>Outgoing</v>
      </c>
      <c r="C357" t="str">
        <f>Raw_Data!H355</f>
        <v>completed</v>
      </c>
      <c r="D357">
        <f>Raw_Data!L355</f>
        <v>0</v>
      </c>
      <c r="E357">
        <f>Raw_Data!M355</f>
        <v>1</v>
      </c>
      <c r="F357">
        <f>Raw_Data!I355</f>
        <v>1</v>
      </c>
      <c r="G357">
        <f>Raw_Data!N355</f>
        <v>0</v>
      </c>
      <c r="H357">
        <f>Raw_Data!K355</f>
        <v>1</v>
      </c>
      <c r="I357">
        <f>Raw_Data!R355</f>
        <v>27</v>
      </c>
      <c r="J357">
        <f>Raw_Data!T355</f>
        <v>1.1499999999999999</v>
      </c>
      <c r="K357" s="14">
        <f>Raw_Data!O355</f>
        <v>46237</v>
      </c>
    </row>
    <row r="358" spans="1:11" x14ac:dyDescent="0.3">
      <c r="A358" t="str">
        <f>Raw_Data!E356</f>
        <v>Pallavi Rao</v>
      </c>
      <c r="B358" t="str">
        <f>Raw_Data!B356</f>
        <v>Outgoing</v>
      </c>
      <c r="C358" t="str">
        <f>Raw_Data!H356</f>
        <v>completed</v>
      </c>
      <c r="D358">
        <f>Raw_Data!L356</f>
        <v>0</v>
      </c>
      <c r="E358">
        <f>Raw_Data!M356</f>
        <v>1</v>
      </c>
      <c r="F358">
        <f>Raw_Data!I356</f>
        <v>1</v>
      </c>
      <c r="G358">
        <f>Raw_Data!N356</f>
        <v>0</v>
      </c>
      <c r="H358">
        <f>Raw_Data!K356</f>
        <v>1</v>
      </c>
      <c r="I358">
        <f>Raw_Data!R356</f>
        <v>64</v>
      </c>
      <c r="J358">
        <f>Raw_Data!T356</f>
        <v>1.1499999999999999</v>
      </c>
      <c r="K358" s="14">
        <f>Raw_Data!O356</f>
        <v>46237</v>
      </c>
    </row>
    <row r="359" spans="1:11" x14ac:dyDescent="0.3">
      <c r="A359" t="str">
        <f>Raw_Data!E357</f>
        <v>Aarav Sharma</v>
      </c>
      <c r="B359" t="str">
        <f>Raw_Data!B357</f>
        <v>Outgoing</v>
      </c>
      <c r="C359" t="str">
        <f>Raw_Data!H357</f>
        <v>completed</v>
      </c>
      <c r="D359">
        <f>Raw_Data!L357</f>
        <v>0</v>
      </c>
      <c r="E359">
        <f>Raw_Data!M357</f>
        <v>1</v>
      </c>
      <c r="F359">
        <f>Raw_Data!I357</f>
        <v>1</v>
      </c>
      <c r="G359">
        <f>Raw_Data!N357</f>
        <v>0</v>
      </c>
      <c r="H359">
        <f>Raw_Data!K357</f>
        <v>1</v>
      </c>
      <c r="I359">
        <f>Raw_Data!R357</f>
        <v>51</v>
      </c>
      <c r="J359">
        <f>Raw_Data!T357</f>
        <v>1.1499999999999999</v>
      </c>
      <c r="K359" s="14">
        <f>Raw_Data!O357</f>
        <v>46237</v>
      </c>
    </row>
    <row r="360" spans="1:11" x14ac:dyDescent="0.3">
      <c r="A360" t="str">
        <f>Raw_Data!E358</f>
        <v>Siddharth Jain</v>
      </c>
      <c r="B360" t="str">
        <f>Raw_Data!B358</f>
        <v>Outgoing</v>
      </c>
      <c r="C360" t="str">
        <f>Raw_Data!H358</f>
        <v>no-answer</v>
      </c>
      <c r="D360">
        <f>Raw_Data!L358</f>
        <v>0</v>
      </c>
      <c r="E360">
        <f>Raw_Data!M358</f>
        <v>1</v>
      </c>
      <c r="F360">
        <f>Raw_Data!I358</f>
        <v>0</v>
      </c>
      <c r="G360">
        <f>Raw_Data!N358</f>
        <v>0</v>
      </c>
      <c r="H360">
        <f>Raw_Data!K358</f>
        <v>0</v>
      </c>
      <c r="I360">
        <f>Raw_Data!R358</f>
        <v>43</v>
      </c>
      <c r="J360">
        <f>Raw_Data!T358</f>
        <v>0.4</v>
      </c>
      <c r="K360" s="14">
        <f>Raw_Data!O358</f>
        <v>46237</v>
      </c>
    </row>
    <row r="361" spans="1:11" x14ac:dyDescent="0.3">
      <c r="A361" t="str">
        <f>Raw_Data!E359</f>
        <v>Meera Joshi</v>
      </c>
      <c r="B361" t="str">
        <f>Raw_Data!B359</f>
        <v>Outgoing</v>
      </c>
      <c r="C361" t="str">
        <f>Raw_Data!H359</f>
        <v>failed</v>
      </c>
      <c r="D361">
        <f>Raw_Data!L359</f>
        <v>0</v>
      </c>
      <c r="E361">
        <f>Raw_Data!M359</f>
        <v>1</v>
      </c>
      <c r="F361">
        <f>Raw_Data!I359</f>
        <v>0</v>
      </c>
      <c r="G361">
        <f>Raw_Data!N359</f>
        <v>0</v>
      </c>
      <c r="H361">
        <f>Raw_Data!K359</f>
        <v>0</v>
      </c>
      <c r="I361">
        <f>Raw_Data!R359</f>
        <v>21</v>
      </c>
      <c r="J361">
        <f>Raw_Data!T359</f>
        <v>0.4</v>
      </c>
      <c r="K361" s="14">
        <f>Raw_Data!O359</f>
        <v>46237</v>
      </c>
    </row>
    <row r="362" spans="1:11" x14ac:dyDescent="0.3">
      <c r="A362" t="str">
        <f>Raw_Data!E360</f>
        <v>Manish Kumar</v>
      </c>
      <c r="B362" t="str">
        <f>Raw_Data!B360</f>
        <v>Outgoing</v>
      </c>
      <c r="C362" t="str">
        <f>Raw_Data!H360</f>
        <v>no-answer</v>
      </c>
      <c r="D362">
        <f>Raw_Data!L360</f>
        <v>0</v>
      </c>
      <c r="E362">
        <f>Raw_Data!M360</f>
        <v>1</v>
      </c>
      <c r="F362">
        <f>Raw_Data!I360</f>
        <v>0</v>
      </c>
      <c r="G362">
        <f>Raw_Data!N360</f>
        <v>0</v>
      </c>
      <c r="H362">
        <f>Raw_Data!K360</f>
        <v>0</v>
      </c>
      <c r="I362">
        <f>Raw_Data!R360</f>
        <v>40</v>
      </c>
      <c r="J362">
        <f>Raw_Data!T360</f>
        <v>0.4</v>
      </c>
      <c r="K362" s="14">
        <f>Raw_Data!O360</f>
        <v>46237</v>
      </c>
    </row>
    <row r="363" spans="1:11" x14ac:dyDescent="0.3">
      <c r="A363" t="str">
        <f>Raw_Data!E361</f>
        <v>Abhishek Jain</v>
      </c>
      <c r="B363" t="str">
        <f>Raw_Data!B361</f>
        <v>Outgoing</v>
      </c>
      <c r="C363" t="str">
        <f>Raw_Data!H361</f>
        <v>no-answer</v>
      </c>
      <c r="D363">
        <f>Raw_Data!L361</f>
        <v>0</v>
      </c>
      <c r="E363">
        <f>Raw_Data!M361</f>
        <v>1</v>
      </c>
      <c r="F363">
        <f>Raw_Data!I361</f>
        <v>0</v>
      </c>
      <c r="G363">
        <f>Raw_Data!N361</f>
        <v>0</v>
      </c>
      <c r="H363">
        <f>Raw_Data!K361</f>
        <v>0</v>
      </c>
      <c r="I363">
        <f>Raw_Data!R361</f>
        <v>30</v>
      </c>
      <c r="J363">
        <f>Raw_Data!T361</f>
        <v>0</v>
      </c>
      <c r="K363" s="14">
        <f>Raw_Data!O361</f>
        <v>46237</v>
      </c>
    </row>
    <row r="364" spans="1:11" x14ac:dyDescent="0.3">
      <c r="A364" t="str">
        <f>Raw_Data!E362</f>
        <v>Shreya Iyer</v>
      </c>
      <c r="B364" t="str">
        <f>Raw_Data!B362</f>
        <v>Outgoing</v>
      </c>
      <c r="C364" t="str">
        <f>Raw_Data!H362</f>
        <v>completed</v>
      </c>
      <c r="D364">
        <f>Raw_Data!L362</f>
        <v>0</v>
      </c>
      <c r="E364">
        <f>Raw_Data!M362</f>
        <v>1</v>
      </c>
      <c r="F364">
        <f>Raw_Data!I362</f>
        <v>1</v>
      </c>
      <c r="G364">
        <f>Raw_Data!N362</f>
        <v>0</v>
      </c>
      <c r="H364">
        <f>Raw_Data!K362</f>
        <v>1</v>
      </c>
      <c r="I364">
        <f>Raw_Data!R362</f>
        <v>37</v>
      </c>
      <c r="J364">
        <f>Raw_Data!T362</f>
        <v>1.1499999999999999</v>
      </c>
      <c r="K364" s="14">
        <f>Raw_Data!O362</f>
        <v>46237</v>
      </c>
    </row>
    <row r="365" spans="1:11" x14ac:dyDescent="0.3">
      <c r="A365" t="str">
        <f>Raw_Data!E363</f>
        <v>Rohit Das</v>
      </c>
      <c r="B365" t="str">
        <f>Raw_Data!B363</f>
        <v>Outgoing</v>
      </c>
      <c r="C365" t="str">
        <f>Raw_Data!H363</f>
        <v>completed</v>
      </c>
      <c r="D365">
        <f>Raw_Data!L363</f>
        <v>0</v>
      </c>
      <c r="E365">
        <f>Raw_Data!M363</f>
        <v>1</v>
      </c>
      <c r="F365">
        <f>Raw_Data!I363</f>
        <v>1</v>
      </c>
      <c r="G365">
        <f>Raw_Data!N363</f>
        <v>0</v>
      </c>
      <c r="H365">
        <f>Raw_Data!K363</f>
        <v>1</v>
      </c>
      <c r="I365">
        <f>Raw_Data!R363</f>
        <v>62</v>
      </c>
      <c r="J365">
        <f>Raw_Data!T363</f>
        <v>1.1499999999999999</v>
      </c>
      <c r="K365" s="14">
        <f>Raw_Data!O363</f>
        <v>46237</v>
      </c>
    </row>
    <row r="366" spans="1:11" x14ac:dyDescent="0.3">
      <c r="A366" t="str">
        <f>Raw_Data!E364</f>
        <v>Arjun Nair</v>
      </c>
      <c r="B366" t="str">
        <f>Raw_Data!B364</f>
        <v>Outgoing</v>
      </c>
      <c r="C366" t="str">
        <f>Raw_Data!H364</f>
        <v>completed</v>
      </c>
      <c r="D366">
        <f>Raw_Data!L364</f>
        <v>0</v>
      </c>
      <c r="E366">
        <f>Raw_Data!M364</f>
        <v>1</v>
      </c>
      <c r="F366">
        <f>Raw_Data!I364</f>
        <v>1</v>
      </c>
      <c r="G366">
        <f>Raw_Data!N364</f>
        <v>0</v>
      </c>
      <c r="H366">
        <f>Raw_Data!K364</f>
        <v>1</v>
      </c>
      <c r="I366">
        <f>Raw_Data!R364</f>
        <v>117</v>
      </c>
      <c r="J366">
        <f>Raw_Data!T364</f>
        <v>2.2999999999999998</v>
      </c>
      <c r="K366" s="14">
        <f>Raw_Data!O364</f>
        <v>46237</v>
      </c>
    </row>
    <row r="367" spans="1:11" x14ac:dyDescent="0.3">
      <c r="A367" t="str">
        <f>Raw_Data!E365</f>
        <v>Pallavi Rao</v>
      </c>
      <c r="B367" t="str">
        <f>Raw_Data!B365</f>
        <v>Outgoing</v>
      </c>
      <c r="C367" t="str">
        <f>Raw_Data!H365</f>
        <v>failed</v>
      </c>
      <c r="D367">
        <f>Raw_Data!L365</f>
        <v>0</v>
      </c>
      <c r="E367">
        <f>Raw_Data!M365</f>
        <v>1</v>
      </c>
      <c r="F367">
        <f>Raw_Data!I365</f>
        <v>0</v>
      </c>
      <c r="G367">
        <f>Raw_Data!N365</f>
        <v>0</v>
      </c>
      <c r="H367">
        <f>Raw_Data!K365</f>
        <v>0</v>
      </c>
      <c r="I367">
        <f>Raw_Data!R365</f>
        <v>11</v>
      </c>
      <c r="J367">
        <f>Raw_Data!T365</f>
        <v>0.4</v>
      </c>
      <c r="K367" s="14">
        <f>Raw_Data!O365</f>
        <v>46237</v>
      </c>
    </row>
    <row r="368" spans="1:11" x14ac:dyDescent="0.3">
      <c r="A368" t="str">
        <f>Raw_Data!E366</f>
        <v>Rohit Das</v>
      </c>
      <c r="B368" t="str">
        <f>Raw_Data!B366</f>
        <v>Outgoing</v>
      </c>
      <c r="C368" t="str">
        <f>Raw_Data!H366</f>
        <v>no-answer</v>
      </c>
      <c r="D368">
        <f>Raw_Data!L366</f>
        <v>0</v>
      </c>
      <c r="E368">
        <f>Raw_Data!M366</f>
        <v>1</v>
      </c>
      <c r="F368">
        <f>Raw_Data!I366</f>
        <v>0</v>
      </c>
      <c r="G368">
        <f>Raw_Data!N366</f>
        <v>0</v>
      </c>
      <c r="H368">
        <f>Raw_Data!K366</f>
        <v>0</v>
      </c>
      <c r="I368">
        <f>Raw_Data!R366</f>
        <v>43</v>
      </c>
      <c r="J368">
        <f>Raw_Data!T366</f>
        <v>0.4</v>
      </c>
      <c r="K368" s="14">
        <f>Raw_Data!O366</f>
        <v>46237</v>
      </c>
    </row>
    <row r="369" spans="1:11" x14ac:dyDescent="0.3">
      <c r="A369" t="str">
        <f>Raw_Data!E367</f>
        <v>Siddharth Jain</v>
      </c>
      <c r="B369" t="str">
        <f>Raw_Data!B367</f>
        <v>Outgoing</v>
      </c>
      <c r="C369" t="str">
        <f>Raw_Data!H367</f>
        <v>no-answer</v>
      </c>
      <c r="D369">
        <f>Raw_Data!L367</f>
        <v>0</v>
      </c>
      <c r="E369">
        <f>Raw_Data!M367</f>
        <v>1</v>
      </c>
      <c r="F369">
        <f>Raw_Data!I367</f>
        <v>0</v>
      </c>
      <c r="G369">
        <f>Raw_Data!N367</f>
        <v>0</v>
      </c>
      <c r="H369">
        <f>Raw_Data!K367</f>
        <v>0</v>
      </c>
      <c r="I369">
        <f>Raw_Data!R367</f>
        <v>42</v>
      </c>
      <c r="J369">
        <f>Raw_Data!T367</f>
        <v>0.4</v>
      </c>
      <c r="K369" s="14">
        <f>Raw_Data!O367</f>
        <v>46237</v>
      </c>
    </row>
    <row r="370" spans="1:11" x14ac:dyDescent="0.3">
      <c r="A370" t="str">
        <f>Raw_Data!E368</f>
        <v>Deepak Yadav</v>
      </c>
      <c r="B370" t="str">
        <f>Raw_Data!B368</f>
        <v>Outgoing</v>
      </c>
      <c r="C370" t="str">
        <f>Raw_Data!H368</f>
        <v>completed</v>
      </c>
      <c r="D370">
        <f>Raw_Data!L368</f>
        <v>0</v>
      </c>
      <c r="E370">
        <f>Raw_Data!M368</f>
        <v>1</v>
      </c>
      <c r="F370">
        <f>Raw_Data!I368</f>
        <v>1</v>
      </c>
      <c r="G370">
        <f>Raw_Data!N368</f>
        <v>0</v>
      </c>
      <c r="H370">
        <f>Raw_Data!K368</f>
        <v>1</v>
      </c>
      <c r="I370">
        <f>Raw_Data!R368</f>
        <v>45</v>
      </c>
      <c r="J370">
        <f>Raw_Data!T368</f>
        <v>1.1499999999999999</v>
      </c>
      <c r="K370" s="14">
        <f>Raw_Data!O368</f>
        <v>46237</v>
      </c>
    </row>
    <row r="371" spans="1:11" x14ac:dyDescent="0.3">
      <c r="A371" t="str">
        <f>Raw_Data!E369</f>
        <v>Varun Iyer</v>
      </c>
      <c r="B371" t="str">
        <f>Raw_Data!B369</f>
        <v>Outgoing</v>
      </c>
      <c r="C371" t="str">
        <f>Raw_Data!H369</f>
        <v>completed</v>
      </c>
      <c r="D371">
        <f>Raw_Data!L369</f>
        <v>0</v>
      </c>
      <c r="E371">
        <f>Raw_Data!M369</f>
        <v>1</v>
      </c>
      <c r="F371">
        <f>Raw_Data!I369</f>
        <v>1</v>
      </c>
      <c r="G371">
        <f>Raw_Data!N369</f>
        <v>0</v>
      </c>
      <c r="H371">
        <f>Raw_Data!K369</f>
        <v>1</v>
      </c>
      <c r="I371">
        <f>Raw_Data!R369</f>
        <v>46</v>
      </c>
      <c r="J371">
        <f>Raw_Data!T369</f>
        <v>1.1499999999999999</v>
      </c>
      <c r="K371" s="14">
        <f>Raw_Data!O369</f>
        <v>46237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DDE46-811C-4801-A384-2DD72650334E}">
  <dimension ref="A1:J40"/>
  <sheetViews>
    <sheetView showGridLines="0" tabSelected="1" zoomScale="46" workbookViewId="0">
      <selection activeCell="K27" sqref="K27"/>
    </sheetView>
  </sheetViews>
  <sheetFormatPr defaultRowHeight="14.4" x14ac:dyDescent="0.3"/>
  <cols>
    <col min="1" max="12" width="20.77734375" customWidth="1"/>
  </cols>
  <sheetData>
    <row r="1" spans="1:10" ht="25.8" x14ac:dyDescent="0.5">
      <c r="A1" s="19" t="s">
        <v>516</v>
      </c>
      <c r="B1" s="20"/>
      <c r="C1" s="20"/>
      <c r="D1" s="20"/>
      <c r="E1" s="20"/>
      <c r="F1" s="20"/>
      <c r="G1" s="20"/>
      <c r="H1" s="20"/>
      <c r="I1" s="20"/>
      <c r="J1" s="20"/>
    </row>
    <row r="3" spans="1:10" ht="19.95" customHeight="1" x14ac:dyDescent="0.3">
      <c r="A3" s="27" t="s">
        <v>9</v>
      </c>
      <c r="C3" s="27" t="s">
        <v>522</v>
      </c>
      <c r="D3" s="26"/>
      <c r="E3" s="27" t="s">
        <v>523</v>
      </c>
      <c r="F3" s="26"/>
      <c r="G3" s="27" t="s">
        <v>524</v>
      </c>
    </row>
    <row r="4" spans="1:10" ht="19.95" customHeight="1" x14ac:dyDescent="0.3">
      <c r="A4" s="28">
        <f>GETPIVOTDATA("Sum of Total calls",Pivot_Tables!A3)</f>
        <v>368</v>
      </c>
      <c r="C4" s="28">
        <f>GETPIVOTDATA("Incoming Flag",Pivot_Tables!A3)</f>
        <v>200</v>
      </c>
      <c r="D4" s="26"/>
      <c r="E4" s="28">
        <f>A4-C4</f>
        <v>168</v>
      </c>
      <c r="F4" s="26"/>
      <c r="G4" s="28">
        <f>GETPIVOTDATA("Sum of Completed calls",Pivot_Tables!A3)</f>
        <v>175</v>
      </c>
    </row>
    <row r="5" spans="1:10" ht="19.95" customHeight="1" x14ac:dyDescent="0.3"/>
    <row r="6" spans="1:10" ht="19.95" customHeight="1" x14ac:dyDescent="0.3">
      <c r="E6" s="25"/>
    </row>
    <row r="7" spans="1:10" ht="19.95" customHeight="1" x14ac:dyDescent="0.3"/>
    <row r="8" spans="1:10" ht="19.95" customHeight="1" x14ac:dyDescent="0.3"/>
    <row r="9" spans="1:10" ht="19.95" customHeight="1" x14ac:dyDescent="0.3"/>
    <row r="10" spans="1:10" ht="19.95" customHeight="1" x14ac:dyDescent="0.3"/>
    <row r="11" spans="1:10" ht="19.95" customHeight="1" x14ac:dyDescent="0.3"/>
    <row r="12" spans="1:10" ht="19.95" customHeight="1" x14ac:dyDescent="0.3"/>
    <row r="14" spans="1:10" ht="19.95" customHeight="1" x14ac:dyDescent="0.3">
      <c r="A14" s="27" t="s">
        <v>517</v>
      </c>
      <c r="B14" s="26"/>
      <c r="C14" s="27" t="s">
        <v>518</v>
      </c>
      <c r="D14" s="26"/>
      <c r="E14" s="27" t="s">
        <v>503</v>
      </c>
      <c r="F14" s="26"/>
      <c r="G14" s="27" t="s">
        <v>519</v>
      </c>
    </row>
    <row r="15" spans="1:10" ht="19.95" customHeight="1" x14ac:dyDescent="0.3">
      <c r="A15" s="29">
        <f>IFERROR(G4/A4,0)</f>
        <v>0.47554347826086957</v>
      </c>
      <c r="B15" s="26"/>
      <c r="C15" s="28">
        <f>GETPIVOTDATA("Sum of CONVERSION Rate",Pivot_Tables!$A$3)</f>
        <v>175</v>
      </c>
      <c r="D15" s="26"/>
      <c r="E15" s="29">
        <f>IFERROR(C15/A4,0)</f>
        <v>0.47554347826086957</v>
      </c>
      <c r="F15" s="26"/>
      <c r="G15" s="28">
        <f>GETPIVOTDATA("Sum of Price for a call",Pivot_Tables!$A$3)</f>
        <v>411.04999999999995</v>
      </c>
    </row>
    <row r="16" spans="1:10" x14ac:dyDescent="0.3">
      <c r="C16" s="21"/>
    </row>
    <row r="17" ht="19.95" customHeight="1" x14ac:dyDescent="0.3"/>
    <row r="18" ht="19.95" customHeight="1" x14ac:dyDescent="0.3"/>
    <row r="19" ht="19.95" customHeight="1" x14ac:dyDescent="0.3"/>
    <row r="20" ht="19.95" customHeight="1" x14ac:dyDescent="0.3"/>
    <row r="21" ht="19.95" customHeight="1" x14ac:dyDescent="0.3"/>
    <row r="22" ht="19.95" customHeight="1" x14ac:dyDescent="0.3"/>
    <row r="23" ht="19.95" customHeight="1" x14ac:dyDescent="0.3"/>
    <row r="24" ht="19.95" customHeight="1" x14ac:dyDescent="0.3"/>
    <row r="25" ht="19.95" customHeight="1" x14ac:dyDescent="0.3"/>
    <row r="26" ht="19.95" customHeight="1" x14ac:dyDescent="0.3"/>
    <row r="27" ht="19.95" customHeight="1" x14ac:dyDescent="0.3"/>
    <row r="28" ht="19.95" customHeight="1" x14ac:dyDescent="0.3"/>
    <row r="29" ht="19.95" customHeight="1" x14ac:dyDescent="0.3"/>
    <row r="30" ht="19.95" customHeight="1" x14ac:dyDescent="0.3"/>
    <row r="31" ht="19.95" customHeight="1" x14ac:dyDescent="0.3"/>
    <row r="32" ht="19.95" customHeight="1" x14ac:dyDescent="0.3"/>
    <row r="33" ht="19.95" customHeight="1" x14ac:dyDescent="0.3"/>
    <row r="34" ht="19.95" customHeight="1" x14ac:dyDescent="0.3"/>
    <row r="35" ht="19.95" customHeight="1" x14ac:dyDescent="0.3"/>
    <row r="36" ht="19.95" customHeight="1" x14ac:dyDescent="0.3"/>
    <row r="37" ht="19.95" customHeight="1" x14ac:dyDescent="0.3"/>
    <row r="38" ht="19.95" customHeight="1" x14ac:dyDescent="0.3"/>
    <row r="39" ht="19.95" customHeight="1" x14ac:dyDescent="0.3"/>
    <row r="40" ht="19.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Pivot_Tables</vt:lpstr>
      <vt:lpstr>Raw_Data</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Tilak S Badami</dc:creator>
  <cp:lastModifiedBy>Tilak S Badami</cp:lastModifiedBy>
  <dcterms:created xsi:type="dcterms:W3CDTF">2026-08-23T02:35:51Z</dcterms:created>
  <dcterms:modified xsi:type="dcterms:W3CDTF">2026-09-06T07:24:59Z</dcterms:modified>
</cp:coreProperties>
</file>